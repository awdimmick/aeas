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dimmick\OneDrive - Reading School\Data analysis\AEAS\Development\"/>
    </mc:Choice>
  </mc:AlternateContent>
  <xr:revisionPtr revIDLastSave="0" documentId="8_{918DC3B4-1A1C-4B87-B0C3-F83AEB091928}" xr6:coauthVersionLast="47" xr6:coauthVersionMax="47" xr10:uidLastSave="{00000000-0000-0000-0000-000000000000}"/>
  <bookViews>
    <workbookView xWindow="-120" yWindow="-120" windowWidth="29040" windowHeight="15840" firstSheet="1" activeTab="1" xr2:uid="{E70CDE62-124B-4B36-B5CD-189F376B57D6}"/>
  </bookViews>
  <sheets>
    <sheet name="TODO" sheetId="78" state="hidden" r:id="rId1"/>
    <sheet name="Home" sheetId="86" r:id="rId2"/>
    <sheet name="Setup" sheetId="4" r:id="rId3"/>
    <sheet name="AEAS Info" sheetId="85" state="hidden" r:id="rId4"/>
    <sheet name="CIS Data TEMPLATE" sheetId="123" state="hidden" r:id="rId5"/>
    <sheet name="Cohort Insight TEMPLATE" sheetId="162" state="hidden" r:id="rId6"/>
    <sheet name="Data Entry Sheet TEMPLATE" sheetId="80" state="hidden" r:id="rId7"/>
    <sheet name="Pupil Insight TEMPLATE" sheetId="6" state="hidden" r:id="rId8"/>
  </sheets>
  <functionGroups builtInGroupCount="19"/>
  <definedNames>
    <definedName name="_xlnm._FilterDatabase" localSheetId="0" hidden="1">TODO!$A$1:$E$29</definedName>
    <definedName name="AEAS_Assessment_Perspective_1_Title">Setup!$D$10</definedName>
    <definedName name="AEAS_Assessment_Perspective_2_Title">Setup!$E$10</definedName>
    <definedName name="AEAS_AssessmentTitle">Setup!$A$2</definedName>
    <definedName name="AEAS_ColourBoundaries">Setup!$J$15:$K$20</definedName>
    <definedName name="AEAS_GradeBoundaries">Setup!$G$10:$H$38</definedName>
    <definedName name="AEAS_QuestionMaxMarks">Setup!$B$11:$B$20</definedName>
    <definedName name="PupilName" localSheetId="7">'Pupil Insight TEMPLATE'!$F$3</definedName>
    <definedName name="vChart1ShowPctMarks">'AEAS Info'!$B$12</definedName>
    <definedName name="vChart2ShowPctMarks">'AEAS Info'!$B$13</definedName>
    <definedName name="vCIS_CG_AP1ChartByGroupShowDiffFromAll">'AEAS Info'!$B$21</definedName>
    <definedName name="vCIS_CG_AP1ChartByPerspectiveShowDiffFromAll">'AEAS Info'!$B$22</definedName>
    <definedName name="vCIS_CG_AP2ChartByGroupShowDiffFromAll">'AEAS Info'!$B$23</definedName>
    <definedName name="vCIS_CG_AP2ChartByPerspectiveShowDiffFromAll">'AEAS Info'!$B$24</definedName>
    <definedName name="vCIS_ClassGroupAveragesChartShowDifferences">'AEAS Info'!$B$16</definedName>
    <definedName name="vCIS_VG_AP1ChartByGroupShowDiffFromAll">'AEAS Info'!$B$17</definedName>
    <definedName name="vCIS_VG_AP1ChartByPerspectiveShowDiffFromAll">'AEAS Info'!$B$18</definedName>
    <definedName name="vCIS_VG_AP2ChartByGroupShowDiffFromAll">'AEAS Info'!$B$19</definedName>
    <definedName name="vCIS_VG_AP2ChartByPerspectiveShowDiffFromAll">'AEAS Info'!$B$20</definedName>
    <definedName name="vHideAssessmentPerspective2Data">'AEAS Info'!$B$15</definedName>
    <definedName name="vIncludeCohortDataInCharts">'AEAS Info'!$B$14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86" l="1"/>
  <c r="B15" i="85" l="1"/>
  <c r="V38" i="6" l="1"/>
  <c r="K38" i="6"/>
  <c r="J6" i="6"/>
  <c r="I6" i="6"/>
  <c r="L4" i="6"/>
  <c r="M4" i="6" s="1"/>
  <c r="K4" i="6"/>
  <c r="F4" i="6"/>
  <c r="D1" i="6"/>
  <c r="B1" i="162"/>
  <c r="O4" i="6" l="1"/>
</calcChain>
</file>

<file path=xl/sharedStrings.xml><?xml version="1.0" encoding="utf-8"?>
<sst xmlns="http://schemas.openxmlformats.org/spreadsheetml/2006/main" count="304" uniqueCount="182">
  <si>
    <t xml:space="preserve"> Max mark</t>
  </si>
  <si>
    <t>%</t>
  </si>
  <si>
    <t>Col index</t>
  </si>
  <si>
    <t>% Max achieved</t>
  </si>
  <si>
    <t>% achieved</t>
  </si>
  <si>
    <t>Group</t>
  </si>
  <si>
    <t>Grade boundaries</t>
  </si>
  <si>
    <t>Grade:</t>
  </si>
  <si>
    <t>Cohort av mark</t>
  </si>
  <si>
    <t>Pupil</t>
  </si>
  <si>
    <t>Summary</t>
  </si>
  <si>
    <t>Instructions</t>
  </si>
  <si>
    <t>Grade / Level</t>
  </si>
  <si>
    <t>Student Name</t>
  </si>
  <si>
    <t>Marks available</t>
  </si>
  <si>
    <t>Marks achieved</t>
  </si>
  <si>
    <t>Update grade boundaries (% only)</t>
  </si>
  <si>
    <t>Cohort average in graph</t>
  </si>
  <si>
    <t>Group average in graph (ideal)</t>
  </si>
  <si>
    <t>Extend conditional formatting to all question rows in pupil insight</t>
  </si>
  <si>
    <t>Add conditional formatting to specification summary to identify target areas</t>
  </si>
  <si>
    <t>Task</t>
  </si>
  <si>
    <t>Priority</t>
  </si>
  <si>
    <t>Difficulty</t>
  </si>
  <si>
    <t>Easy</t>
  </si>
  <si>
    <t>Med</t>
  </si>
  <si>
    <t>Hard</t>
  </si>
  <si>
    <t>High</t>
  </si>
  <si>
    <t>Rename QuestionSpecificationSETUP sheet to Setup</t>
  </si>
  <si>
    <t>Pull in correct group for Pupil Insight sheet</t>
  </si>
  <si>
    <t>Done</t>
  </si>
  <si>
    <t>Y</t>
  </si>
  <si>
    <t>Class av mark</t>
  </si>
  <si>
    <t>Topic list in pupil insight summary needs to be sorted alphabetically</t>
  </si>
  <si>
    <t>Mark available</t>
  </si>
  <si>
    <t>Question reference</t>
  </si>
  <si>
    <t>Mark achieved</t>
  </si>
  <si>
    <t>Conditional formatting thresholds</t>
  </si>
  <si>
    <t>Specify what % of avaialble marks should trigger each colour band in the pupil insight sheet.</t>
  </si>
  <si>
    <t>&gt;= %</t>
  </si>
  <si>
    <t>colour</t>
  </si>
  <si>
    <t>Copy Specification refernce to question detail column if empty upon data sheet generation</t>
  </si>
  <si>
    <t>Low</t>
  </si>
  <si>
    <t>Extend total, % and grade column formulae to all pupil rows in DES</t>
  </si>
  <si>
    <t>Use two columns for student names in DES</t>
  </si>
  <si>
    <t>Add Freeze Panes to DES to assist viewing of data</t>
  </si>
  <si>
    <t>Add RESET button to fix issues caused by left over named ranges</t>
  </si>
  <si>
    <t>U</t>
  </si>
  <si>
    <t>Generate Pupil Insight Sheet not available until DES has been generated</t>
  </si>
  <si>
    <t>Columns in bar graph to be ordered alphanumerically</t>
  </si>
  <si>
    <t>Automated Exam Analysis Spreadsheet</t>
  </si>
  <si>
    <t>Version:</t>
  </si>
  <si>
    <t>Status:</t>
  </si>
  <si>
    <t>Got issues creating or recreating a Pupil Insight Sheet? Try this.</t>
  </si>
  <si>
    <t>Is this necessary? It will cause a lot of changes to be made</t>
  </si>
  <si>
    <t>N</t>
  </si>
  <si>
    <t>Add record number to exported pupil PDF filename to avoid overwriting duplicate pupil and group names</t>
  </si>
  <si>
    <t>Change PIS charts to show raw marks not %</t>
  </si>
  <si>
    <t>Add toggle to show % or raw</t>
  </si>
  <si>
    <t>Add toggle to show/hide class averages</t>
  </si>
  <si>
    <t>Chane chart toggle switch to showing comparative averages (not % vs Raw - keep % in table beneath)</t>
  </si>
  <si>
    <t>Graphs need to be proportionately sized by marks available</t>
  </si>
  <si>
    <t>Graph for each of the 2 columns (Spec Reference AND Question focus)</t>
  </si>
  <si>
    <t>Change spelling of 'achieved' on graph</t>
  </si>
  <si>
    <t>Data ENtry Sheet needs to pull down columns O-Q automatically</t>
  </si>
  <si>
    <t>How would we distribute these to students?</t>
  </si>
  <si>
    <t>Class av achieved</t>
  </si>
  <si>
    <t>Cohort av achieved</t>
  </si>
  <si>
    <t>Export PDFs will not work on Mac because export file dialogue cannot be opened - needs to default to workbook location on error on a Mac</t>
  </si>
  <si>
    <t>Export PDFs immediately printed on a Mac, not saved to PDF - FIX</t>
  </si>
  <si>
    <t>Add cohort overview sheet - cohort average for each topic, plus series for each group</t>
  </si>
  <si>
    <t>Exporting PDFs seems to move the PIS sheet order?</t>
  </si>
  <si>
    <t>I think this is fixed</t>
  </si>
  <si>
    <t>Unconfirmed</t>
  </si>
  <si>
    <t>Add points/% required to reach next mark in Pupil Insight Sheet</t>
  </si>
  <si>
    <t>Find slicker way of combining mulitple assessments - column for the assessment that the data has come from on setup page? Then change the assesment title area to just subject/year group</t>
  </si>
  <si>
    <t>Automated Exam Analysis Sheet (AEAS)</t>
  </si>
  <si>
    <t>Once the question-level data has been entered you can generate the Pupil Insight Sheet. This sheet allows you to focus on each individual student that completed the assessment in order to gain a deeper understanding of their particular areas of strength and weakness. From here you can export PDF files for each individual student that can then be printed or distributed electronically to them.</t>
  </si>
  <si>
    <t>1. Setting up the AEAS</t>
  </si>
  <si>
    <t>2. Data entry</t>
  </si>
  <si>
    <t>3. Analysing student performance via the Pupil Insight sheet</t>
  </si>
  <si>
    <t>Help and feedback</t>
  </si>
  <si>
    <t>If you need any help using the AEAS, or if you have any feedback about issues that you encounter or ways that you feel the system could be improved please email Adam.</t>
  </si>
  <si>
    <t>Get started!</t>
  </si>
  <si>
    <t>Step 1:</t>
  </si>
  <si>
    <t>Step 2:</t>
  </si>
  <si>
    <t>Step3:</t>
  </si>
  <si>
    <t>Step 4:</t>
  </si>
  <si>
    <t>Development version, implementing changes for Y11 mock assessments</t>
  </si>
  <si>
    <t>Perspective 1_1</t>
  </si>
  <si>
    <t>Perspective 1_2</t>
  </si>
  <si>
    <t>Perspective 1_3</t>
  </si>
  <si>
    <t>Perspective1_4</t>
  </si>
  <si>
    <t>Perspective 2_1</t>
  </si>
  <si>
    <t>Perspective 2_2</t>
  </si>
  <si>
    <t>Perspective 2_3</t>
  </si>
  <si>
    <t>Ref</t>
  </si>
  <si>
    <t>Assessment areas and perspectives</t>
  </si>
  <si>
    <t>Subject and Key Stage</t>
  </si>
  <si>
    <t>Add the subject and key stage, which will appear on pupil and summary analysis sheets.</t>
  </si>
  <si>
    <t>Add the % and mark boundary for each grade/level below, starting with the lowest (0%) and building up towards the highest grade. These grade boundaries will applied to all assessment data provided allowing you to clearly see performance in each assessment perspective across multiple assessments.  
You can add up to 27 grades/levels.</t>
  </si>
  <si>
    <r>
      <t xml:space="preserve">Assessment reference </t>
    </r>
    <r>
      <rPr>
        <i/>
        <sz val="11"/>
        <color theme="1"/>
        <rFont val="Calibri"/>
        <family val="2"/>
        <scheme val="minor"/>
      </rPr>
      <t>(max mark beneath)</t>
    </r>
  </si>
  <si>
    <t>Assessment focus</t>
  </si>
  <si>
    <t>Worksheet variables</t>
  </si>
  <si>
    <t>Identifier</t>
  </si>
  <si>
    <t>Value</t>
  </si>
  <si>
    <t>Scope</t>
  </si>
  <si>
    <t>PIS</t>
  </si>
  <si>
    <t>Assessment point description</t>
  </si>
  <si>
    <r>
      <t xml:space="preserve">Assessment point description
</t>
    </r>
    <r>
      <rPr>
        <sz val="11"/>
        <rFont val="Calibri"/>
        <family val="2"/>
        <scheme val="minor"/>
      </rPr>
      <t>(a reminder for students)</t>
    </r>
  </si>
  <si>
    <t>Q about ants</t>
  </si>
  <si>
    <t>Q about bees</t>
  </si>
  <si>
    <t>Q about dogs</t>
  </si>
  <si>
    <t>Q about elephants</t>
  </si>
  <si>
    <t>Q about foxes</t>
  </si>
  <si>
    <t>Q about hippos</t>
  </si>
  <si>
    <t>Q about iguanas</t>
  </si>
  <si>
    <t>Note</t>
  </si>
  <si>
    <t>If there are no entries in the "Assessment perspective 2" column in the Setup page this will become True. This value is checked when setting up the PIS to determine whether or not to includd the assessment perspective 2 chart and summary data.</t>
  </si>
  <si>
    <r>
      <t xml:space="preserve">Assessment perspective 2 </t>
    </r>
    <r>
      <rPr>
        <sz val="11"/>
        <rFont val="Calibri"/>
        <family val="2"/>
        <scheme val="minor"/>
      </rPr>
      <t>(optional)</t>
    </r>
  </si>
  <si>
    <t xml:space="preserve">Assessment perspective 1 </t>
  </si>
  <si>
    <t>Add the assessment reference (for example, the question number from a written assessment - e.g. 1, 2, 2a, 2.2, etc) and maximum mark for each part of the assessment and then the "assessment perspective" details from Row 11 onwards.  The assessment perspective is whatever is most helpful for your department and your students in terms of better understanding their progress and acquisition of knowledge within the subject. In many cases, at least one assessment perspective will be "Specification topic" whilst the other might be subject-specific skills that are evidenced across all topics, for example, "critical analysis", or "evaluating data." Pupils will receive visualisations showing the marks attained for each perspective.</t>
  </si>
  <si>
    <t>Replace with your subject and relevant key stage (e.g. French GCSE)</t>
  </si>
  <si>
    <t>vChart1ShowPctMarks</t>
  </si>
  <si>
    <t>vChart2ShowPctMarks</t>
  </si>
  <si>
    <t>vHideAssessmentPerspective2Data</t>
  </si>
  <si>
    <t>Tilt</t>
  </si>
  <si>
    <t>SEND</t>
  </si>
  <si>
    <t>Class group</t>
  </si>
  <si>
    <t>Pupil groups</t>
  </si>
  <si>
    <t>vIncludeCohortDataInCharts</t>
  </si>
  <si>
    <t>Other options</t>
  </si>
  <si>
    <t>You can use the controls below to configure various options within the AEAS. Well, at present, you can determine whether or not to include cohort and class average data within charts in the Pupil Insight Sheet. Other options might appear here in future!</t>
  </si>
  <si>
    <t>Here is a relevant article discussing the relative merits of letting students know how they compare to their peers</t>
  </si>
  <si>
    <t>© 2022 Adam Dimmick, Reading School</t>
  </si>
  <si>
    <t>Cohort insight</t>
  </si>
  <si>
    <t>All</t>
  </si>
  <si>
    <t>Boarders</t>
  </si>
  <si>
    <t>None</t>
  </si>
  <si>
    <t>Class groups</t>
  </si>
  <si>
    <t>Assessment Point Reference</t>
  </si>
  <si>
    <t>Maximum mark</t>
  </si>
  <si>
    <t>Group averages</t>
  </si>
  <si>
    <t>Assessment perspective links</t>
  </si>
  <si>
    <t>AP 1</t>
  </si>
  <si>
    <t>AP2</t>
  </si>
  <si>
    <t>Assessment Data required for Cohort Insight Sheet</t>
  </si>
  <si>
    <t>Do not alter the data or formulae in this sheet!</t>
  </si>
  <si>
    <t>Password for unlocking</t>
  </si>
  <si>
    <t>AEAS</t>
  </si>
  <si>
    <t>Enter desecription, e.g. "Specification area"</t>
  </si>
  <si>
    <t>Enter desecription, e.g. "Skill"</t>
  </si>
  <si>
    <t>Class Group averages (%)</t>
  </si>
  <si>
    <t>Not vulnerable</t>
  </si>
  <si>
    <t>Vulnerable Pupils Groups averages (%)</t>
  </si>
  <si>
    <t>Performance across whole assessment</t>
  </si>
  <si>
    <t>All students</t>
  </si>
  <si>
    <t>Vulnerable pupils</t>
  </si>
  <si>
    <t>diff</t>
  </si>
  <si>
    <t>Summary data</t>
  </si>
  <si>
    <t>Assessment point data</t>
  </si>
  <si>
    <t>vCIS_ClassGroupAveragesChartShowDifferences</t>
  </si>
  <si>
    <t>CIS</t>
  </si>
  <si>
    <t>vCIS_VG_AP1ChartByGroupShowDiffFromAll</t>
  </si>
  <si>
    <t>vCIS_VG_AP1ChartByPerspectiveShowDiffFromAll</t>
  </si>
  <si>
    <t>vCIS_CG_AP1ChartByGroupShowDiffFromAll</t>
  </si>
  <si>
    <t>vCIS_CG_AP1ChartByPerspectiveShowDiffFromAll</t>
  </si>
  <si>
    <t>VG</t>
  </si>
  <si>
    <t>CG</t>
  </si>
  <si>
    <t>vCIS_CG_AP2ChartByGroupShowDiffFromAll</t>
  </si>
  <si>
    <t>vCIS_VG_AP2ChartByGroupShowDiffFromAll</t>
  </si>
  <si>
    <t>vCIS_VG_AP2ChartByPerspectiveShowDiffFromAll</t>
  </si>
  <si>
    <t>vCIS_CG_AP2ChartByPerspectiveShowDiffFromAll</t>
  </si>
  <si>
    <t>Q about giraffes</t>
  </si>
  <si>
    <t>Q about caterpillars</t>
  </si>
  <si>
    <t>Q about lemurs</t>
  </si>
  <si>
    <t>Welcome to the AEAS! Using this tool is relatively simple, and can be broken down into four steps:</t>
  </si>
  <si>
    <t>This process involves adding details of each of the questions in your assessment including the marks available for each question and its links to your "assessment perspectives". You will also set the grades boundaries for the assessment in this stage.</t>
  </si>
  <si>
    <t>Once the setup data has been entered you can generate the Data Entry sheet and enter the student names and class groups for each of your class sets. To match the format of exported class lists from Bromcom, there is a single column for entering students' names. The Data entry sheet automatically contains columns for each of the questions in the assessment where you can enter the marks attained for each question (or part of a question) once your assessment has completed and students' work marked. You will also need to add details of students' vulnerability group membership (SEND, Tilt and Boarders) to enable the Vulnerabile Groups analysis.</t>
  </si>
  <si>
    <t>4. Analysing cohort performance by class groups and vulnerability groups</t>
  </si>
  <si>
    <t>In addition to analysing individual students' performance, you can gain insight into the performance across each assessment perspective for each vulnerabilit group (SEN, Tilt and Boarders) or each teaching (class) group across the whole cohort. These details can be found in the "Vulnerable Groups" and "Class Groups" tabs once you have generated the cohort insight sheets.</t>
  </si>
  <si>
    <t>January 2022 Beta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</si>
</sst>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4"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i/>
      <sz val="11"/>
      <color theme="1"/>
      <name val="Calibri"/>
      <family val="2"/>
      <scheme val="minor"/>
    </font>
    <font>
      <sz val="11"/>
      <color rgb="FF000000"/>
      <name val="Calibri"/>
      <family val="2"/>
    </font>
    <font>
      <sz val="14"/>
      <color theme="1"/>
      <name val="Calibri"/>
      <family val="2"/>
      <scheme val="minor"/>
    </font>
    <font>
      <u/>
      <sz val="18"/>
      <color theme="1"/>
      <name val="Calibri"/>
      <family val="2"/>
      <scheme val="minor"/>
    </font>
    <font>
      <sz val="22"/>
      <color theme="1"/>
      <name val="Calibri"/>
      <family val="2"/>
      <scheme val="minor"/>
    </font>
    <font>
      <b/>
      <sz val="14"/>
      <color theme="1"/>
      <name val="Calibri"/>
      <family val="2"/>
      <scheme val="minor"/>
    </font>
    <font>
      <b/>
      <sz val="20"/>
      <color theme="1"/>
      <name val="Calibri"/>
      <family val="2"/>
      <scheme val="minor"/>
    </font>
    <font>
      <b/>
      <sz val="11"/>
      <color theme="0"/>
      <name val="Calibri"/>
      <family val="2"/>
      <scheme val="minor"/>
    </font>
    <font>
      <sz val="11"/>
      <color theme="0"/>
      <name val="Calibri"/>
      <family val="2"/>
      <scheme val="minor"/>
    </font>
    <font>
      <sz val="12"/>
      <color rgb="FF000000"/>
      <name val="Calibri"/>
      <family val="2"/>
    </font>
    <font>
      <sz val="11"/>
      <name val="Calibri"/>
      <family val="2"/>
      <scheme val="minor"/>
    </font>
    <font>
      <b/>
      <sz val="20"/>
      <name val="Calibri"/>
      <family val="2"/>
      <scheme val="minor"/>
    </font>
    <font>
      <b/>
      <sz val="11"/>
      <name val="Calibri"/>
      <family val="2"/>
      <scheme val="minor"/>
    </font>
    <font>
      <i/>
      <sz val="12"/>
      <name val="Calibri"/>
      <family val="2"/>
      <scheme val="minor"/>
    </font>
    <font>
      <i/>
      <sz val="11"/>
      <name val="Calibri"/>
      <family val="2"/>
      <scheme val="minor"/>
    </font>
    <font>
      <sz val="10"/>
      <name val="Calibri"/>
      <family val="2"/>
      <scheme val="minor"/>
    </font>
    <font>
      <u/>
      <sz val="11"/>
      <color theme="10"/>
      <name val="Calibri"/>
      <family val="2"/>
      <scheme val="minor"/>
    </font>
    <font>
      <b/>
      <sz val="12"/>
      <color theme="1"/>
      <name val="Calibri"/>
      <family val="2"/>
      <scheme val="minor"/>
    </font>
    <font>
      <i/>
      <sz val="11"/>
      <color rgb="FFFF0000"/>
      <name val="Calibri"/>
      <family val="2"/>
      <scheme val="minor"/>
    </font>
    <font>
      <sz val="8"/>
      <color rgb="FF000000"/>
      <name val="Segoe UI"/>
      <family val="2"/>
    </font>
  </fonts>
  <fills count="18">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theme="6" tint="0.79995117038483843"/>
        <bgColor indexed="64"/>
      </patternFill>
    </fill>
    <fill>
      <patternFill patternType="solid">
        <fgColor theme="3" tint="-0.249977111117893"/>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FFC000"/>
        <bgColor indexed="64"/>
      </patternFill>
    </fill>
    <fill>
      <patternFill patternType="solid">
        <fgColor rgb="FFFF4C05"/>
        <bgColor indexed="64"/>
      </patternFill>
    </fill>
    <fill>
      <patternFill patternType="solid">
        <fgColor rgb="FFC00000"/>
        <bgColor indexed="64"/>
      </patternFill>
    </fill>
    <fill>
      <patternFill patternType="solid">
        <fgColor theme="7" tint="0.79998168889431442"/>
        <bgColor indexed="64"/>
      </patternFill>
    </fill>
    <fill>
      <patternFill patternType="solid">
        <fgColor rgb="FFFFB9B9"/>
        <bgColor indexed="64"/>
      </patternFill>
    </fill>
    <fill>
      <patternFill patternType="solid">
        <fgColor theme="8" tint="0.79998168889431442"/>
        <bgColor indexed="64"/>
      </patternFill>
    </fill>
    <fill>
      <patternFill patternType="solid">
        <fgColor theme="2"/>
        <bgColor indexed="64"/>
      </patternFill>
    </fill>
    <fill>
      <patternFill patternType="solid">
        <fgColor theme="3" tint="0.79998168889431442"/>
        <bgColor indexed="64"/>
      </patternFill>
    </fill>
    <fill>
      <patternFill patternType="solid">
        <fgColor theme="0" tint="-4.9989318521683403E-2"/>
        <bgColor indexed="64"/>
      </patternFill>
    </fill>
  </fills>
  <borders count="2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9" fontId="1" fillId="0" borderId="0" applyFont="0" applyFill="0" applyBorder="0" applyAlignment="0" applyProtection="0"/>
    <xf numFmtId="0" fontId="20" fillId="0" borderId="0" applyNumberFormat="0" applyFill="0" applyBorder="0" applyAlignment="0" applyProtection="0"/>
  </cellStyleXfs>
  <cellXfs count="146">
    <xf numFmtId="0" fontId="0" fillId="0" borderId="0" xfId="0"/>
    <xf numFmtId="0" fontId="3" fillId="0" borderId="0" xfId="0" applyFont="1"/>
    <xf numFmtId="0" fontId="0" fillId="0" borderId="0" xfId="0" applyAlignment="1">
      <alignment horizontal="center"/>
    </xf>
    <xf numFmtId="0" fontId="5" fillId="0" borderId="0" xfId="0" applyFont="1" applyFill="1" applyBorder="1" applyAlignment="1">
      <alignment horizontal="center"/>
    </xf>
    <xf numFmtId="0" fontId="0" fillId="0" borderId="0" xfId="0" applyFill="1" applyAlignment="1">
      <alignment horizontal="center"/>
    </xf>
    <xf numFmtId="0" fontId="0" fillId="0" borderId="0" xfId="0" applyAlignment="1">
      <alignment horizontal="left"/>
    </xf>
    <xf numFmtId="0" fontId="0" fillId="0" borderId="0" xfId="0" applyAlignment="1">
      <alignment vertical="top"/>
    </xf>
    <xf numFmtId="9" fontId="0" fillId="0" borderId="0" xfId="1" applyFont="1" applyAlignment="1">
      <alignment horizontal="center"/>
    </xf>
    <xf numFmtId="0" fontId="6" fillId="2" borderId="1" xfId="0" applyFont="1" applyFill="1" applyBorder="1" applyAlignment="1">
      <alignment vertical="center"/>
    </xf>
    <xf numFmtId="0" fontId="6" fillId="2" borderId="2" xfId="0" applyFont="1" applyFill="1" applyBorder="1" applyAlignment="1">
      <alignment horizontal="center" vertical="center"/>
    </xf>
    <xf numFmtId="0" fontId="6" fillId="0" borderId="1" xfId="0" applyFont="1" applyBorder="1" applyAlignment="1">
      <alignment vertical="center"/>
    </xf>
    <xf numFmtId="0" fontId="6" fillId="2" borderId="3" xfId="0" applyFont="1" applyFill="1" applyBorder="1" applyAlignment="1">
      <alignment horizontal="center" vertical="center"/>
    </xf>
    <xf numFmtId="0" fontId="0" fillId="0" borderId="0" xfId="0" applyBorder="1" applyAlignment="1"/>
    <xf numFmtId="0" fontId="6" fillId="0" borderId="0" xfId="0" applyFont="1"/>
    <xf numFmtId="0" fontId="6" fillId="0" borderId="0" xfId="0" applyFont="1" applyAlignment="1">
      <alignment vertical="top"/>
    </xf>
    <xf numFmtId="0" fontId="9" fillId="0" borderId="0" xfId="0" applyFont="1"/>
    <xf numFmtId="0" fontId="10" fillId="0" borderId="0" xfId="0" applyFont="1"/>
    <xf numFmtId="0" fontId="0" fillId="0" borderId="0" xfId="0" applyFill="1"/>
    <xf numFmtId="9" fontId="0" fillId="0" borderId="0" xfId="1" applyFont="1"/>
    <xf numFmtId="0" fontId="3" fillId="3" borderId="5" xfId="0" applyFont="1" applyFill="1" applyBorder="1" applyAlignment="1">
      <alignment horizontal="center"/>
    </xf>
    <xf numFmtId="0" fontId="3" fillId="3" borderId="6" xfId="0" applyFont="1" applyFill="1" applyBorder="1" applyAlignment="1">
      <alignment horizontal="center"/>
    </xf>
    <xf numFmtId="9" fontId="0" fillId="0" borderId="7" xfId="1" applyFont="1" applyBorder="1" applyAlignment="1">
      <alignment horizontal="center"/>
    </xf>
    <xf numFmtId="0" fontId="0" fillId="0" borderId="8" xfId="0" applyBorder="1" applyAlignment="1">
      <alignment horizontal="center"/>
    </xf>
    <xf numFmtId="0" fontId="0" fillId="0" borderId="7" xfId="0" applyBorder="1" applyAlignment="1">
      <alignment horizontal="center"/>
    </xf>
    <xf numFmtId="0" fontId="0" fillId="0" borderId="7" xfId="0" applyBorder="1"/>
    <xf numFmtId="0" fontId="0" fillId="0" borderId="8" xfId="0" applyBorder="1"/>
    <xf numFmtId="0" fontId="0" fillId="0" borderId="9" xfId="0" applyBorder="1"/>
    <xf numFmtId="0" fontId="0" fillId="0" borderId="10" xfId="0" applyBorder="1"/>
    <xf numFmtId="9" fontId="0" fillId="0" borderId="0" xfId="1" applyFont="1" applyAlignment="1">
      <alignment vertical="top"/>
    </xf>
    <xf numFmtId="2" fontId="0" fillId="0" borderId="0" xfId="0" applyNumberFormat="1" applyAlignment="1">
      <alignment horizontal="left"/>
    </xf>
    <xf numFmtId="2" fontId="6" fillId="0" borderId="0" xfId="0" applyNumberFormat="1" applyFont="1"/>
    <xf numFmtId="2" fontId="0" fillId="0" borderId="0" xfId="0" applyNumberFormat="1" applyBorder="1" applyAlignment="1"/>
    <xf numFmtId="0" fontId="2" fillId="0" borderId="0" xfId="0" applyFont="1"/>
    <xf numFmtId="0" fontId="12" fillId="5" borderId="0" xfId="0" applyFont="1" applyFill="1"/>
    <xf numFmtId="0" fontId="12" fillId="6" borderId="0" xfId="0" applyFont="1" applyFill="1"/>
    <xf numFmtId="0" fontId="12" fillId="5" borderId="0" xfId="0" applyFont="1" applyFill="1" applyAlignment="1">
      <alignment horizontal="center" wrapText="1"/>
    </xf>
    <xf numFmtId="0" fontId="11" fillId="5" borderId="0" xfId="0" applyFont="1" applyFill="1" applyAlignment="1">
      <alignment horizontal="center" wrapText="1"/>
    </xf>
    <xf numFmtId="2" fontId="11" fillId="5" borderId="0" xfId="0" applyNumberFormat="1" applyFont="1" applyFill="1" applyAlignment="1">
      <alignment horizontal="center" wrapText="1"/>
    </xf>
    <xf numFmtId="0" fontId="11" fillId="5" borderId="0" xfId="0" applyFont="1" applyFill="1" applyAlignment="1">
      <alignment horizontal="left" wrapText="1"/>
    </xf>
    <xf numFmtId="9" fontId="12" fillId="5" borderId="0" xfId="1" applyFont="1" applyFill="1"/>
    <xf numFmtId="0" fontId="0" fillId="0" borderId="0" xfId="0" applyFont="1"/>
    <xf numFmtId="0" fontId="0" fillId="4" borderId="0" xfId="0" applyFill="1" applyBorder="1" applyAlignment="1">
      <alignment horizontal="center"/>
    </xf>
    <xf numFmtId="0" fontId="0" fillId="4" borderId="4" xfId="0" applyFill="1" applyBorder="1" applyAlignment="1">
      <alignment horizontal="center"/>
    </xf>
    <xf numFmtId="0" fontId="0" fillId="4" borderId="0" xfId="0" applyFill="1" applyBorder="1" applyAlignment="1"/>
    <xf numFmtId="0" fontId="12" fillId="7" borderId="8" xfId="0" applyFont="1" applyFill="1" applyBorder="1"/>
    <xf numFmtId="0" fontId="0" fillId="8" borderId="8" xfId="0" applyFill="1" applyBorder="1"/>
    <xf numFmtId="0" fontId="0" fillId="9" borderId="8" xfId="0" applyFill="1" applyBorder="1"/>
    <xf numFmtId="0" fontId="0" fillId="10" borderId="8" xfId="0" applyFill="1" applyBorder="1"/>
    <xf numFmtId="9" fontId="0" fillId="0" borderId="9" xfId="1" applyFont="1" applyBorder="1" applyAlignment="1">
      <alignment horizontal="center"/>
    </xf>
    <xf numFmtId="0" fontId="0" fillId="11" borderId="10" xfId="0" applyFill="1" applyBorder="1"/>
    <xf numFmtId="0" fontId="8" fillId="0" borderId="0" xfId="0" applyFont="1" applyAlignment="1">
      <alignment vertical="center"/>
    </xf>
    <xf numFmtId="164" fontId="4" fillId="0" borderId="0" xfId="1" applyNumberFormat="1" applyFont="1" applyAlignment="1">
      <alignment horizontal="center"/>
    </xf>
    <xf numFmtId="17" fontId="0" fillId="0" borderId="0" xfId="0" applyNumberFormat="1"/>
    <xf numFmtId="0" fontId="0" fillId="13" borderId="11" xfId="0" applyFill="1" applyBorder="1"/>
    <xf numFmtId="0" fontId="0" fillId="13" borderId="12" xfId="0" applyFill="1" applyBorder="1"/>
    <xf numFmtId="0" fontId="0" fillId="13" borderId="13" xfId="0" applyFill="1" applyBorder="1"/>
    <xf numFmtId="0" fontId="0" fillId="13" borderId="14" xfId="0" applyFill="1" applyBorder="1"/>
    <xf numFmtId="0" fontId="0" fillId="13" borderId="0" xfId="0" applyFill="1" applyBorder="1"/>
    <xf numFmtId="0" fontId="0" fillId="13" borderId="15" xfId="0" applyFill="1" applyBorder="1"/>
    <xf numFmtId="0" fontId="0" fillId="13" borderId="16" xfId="0" applyFill="1" applyBorder="1"/>
    <xf numFmtId="0" fontId="0" fillId="13" borderId="17" xfId="0" applyFill="1" applyBorder="1"/>
    <xf numFmtId="0" fontId="0" fillId="13" borderId="18" xfId="0" applyFill="1" applyBorder="1"/>
    <xf numFmtId="0" fontId="3" fillId="12" borderId="0" xfId="0" applyFont="1" applyFill="1"/>
    <xf numFmtId="0" fontId="0" fillId="12" borderId="0" xfId="0" applyFill="1"/>
    <xf numFmtId="164" fontId="4" fillId="0" borderId="0" xfId="0" applyNumberFormat="1" applyFont="1" applyAlignment="1">
      <alignment horizontal="center"/>
    </xf>
    <xf numFmtId="0" fontId="0" fillId="0" borderId="0" xfId="0" applyFont="1" applyAlignment="1">
      <alignment horizontal="center"/>
    </xf>
    <xf numFmtId="1" fontId="0" fillId="0" borderId="0" xfId="0" applyNumberFormat="1" applyFont="1" applyAlignment="1">
      <alignment horizontal="center"/>
    </xf>
    <xf numFmtId="0" fontId="13" fillId="0" borderId="0" xfId="0" applyFont="1" applyAlignment="1">
      <alignment horizontal="left" vertical="center" wrapText="1" indent="1"/>
    </xf>
    <xf numFmtId="164" fontId="0" fillId="0" borderId="0" xfId="1" applyNumberFormat="1" applyFont="1" applyAlignment="1">
      <alignment vertical="top"/>
    </xf>
    <xf numFmtId="164" fontId="0" fillId="0" borderId="0" xfId="1" applyNumberFormat="1" applyFont="1"/>
    <xf numFmtId="164" fontId="12" fillId="5" borderId="0" xfId="1" applyNumberFormat="1" applyFont="1" applyFill="1"/>
    <xf numFmtId="0" fontId="14" fillId="0" borderId="0" xfId="0" applyFont="1" applyAlignment="1">
      <alignment horizontal="center"/>
    </xf>
    <xf numFmtId="0" fontId="0" fillId="0" borderId="0" xfId="0" applyAlignment="1">
      <alignment wrapText="1"/>
    </xf>
    <xf numFmtId="0" fontId="15" fillId="0" borderId="0" xfId="0" applyFont="1"/>
    <xf numFmtId="0" fontId="14" fillId="0" borderId="0" xfId="0" applyFont="1"/>
    <xf numFmtId="0" fontId="16" fillId="0" borderId="0" xfId="0" applyFont="1"/>
    <xf numFmtId="0" fontId="14" fillId="0" borderId="0" xfId="0" applyFont="1" applyAlignment="1">
      <alignment horizontal="left"/>
    </xf>
    <xf numFmtId="0" fontId="18" fillId="0" borderId="0" xfId="0" applyFont="1" applyBorder="1" applyAlignment="1">
      <alignment horizontal="left"/>
    </xf>
    <xf numFmtId="1" fontId="14" fillId="0" borderId="0" xfId="0" applyNumberFormat="1" applyFont="1" applyAlignment="1">
      <alignment horizontal="center"/>
    </xf>
    <xf numFmtId="1" fontId="19" fillId="0" borderId="0" xfId="0" applyNumberFormat="1" applyFont="1" applyAlignment="1">
      <alignment horizontal="center"/>
    </xf>
    <xf numFmtId="0" fontId="0" fillId="3" borderId="5" xfId="0" applyFill="1" applyBorder="1"/>
    <xf numFmtId="0" fontId="0" fillId="3" borderId="19" xfId="0" applyFill="1" applyBorder="1"/>
    <xf numFmtId="0" fontId="0" fillId="3" borderId="6" xfId="0" applyFill="1" applyBorder="1"/>
    <xf numFmtId="0" fontId="0" fillId="3" borderId="7" xfId="0" applyFill="1" applyBorder="1"/>
    <xf numFmtId="0" fontId="0" fillId="3" borderId="0" xfId="0" applyFill="1" applyBorder="1"/>
    <xf numFmtId="0" fontId="0" fillId="3" borderId="8" xfId="0" applyFill="1" applyBorder="1"/>
    <xf numFmtId="0" fontId="0" fillId="3" borderId="9" xfId="0" applyFill="1" applyBorder="1"/>
    <xf numFmtId="0" fontId="0" fillId="3" borderId="4" xfId="0" applyFill="1" applyBorder="1"/>
    <xf numFmtId="0" fontId="0" fillId="3" borderId="10" xfId="0" applyFill="1" applyBorder="1"/>
    <xf numFmtId="0" fontId="16" fillId="3" borderId="20" xfId="0" applyFont="1" applyFill="1" applyBorder="1" applyAlignment="1">
      <alignment horizontal="left"/>
    </xf>
    <xf numFmtId="9" fontId="6" fillId="2" borderId="3" xfId="1" applyFont="1" applyFill="1" applyBorder="1" applyAlignment="1">
      <alignment horizontal="left" vertical="center"/>
    </xf>
    <xf numFmtId="0" fontId="12" fillId="6" borderId="0" xfId="0" applyFont="1" applyFill="1" applyAlignment="1">
      <alignment horizontal="center" wrapText="1"/>
    </xf>
    <xf numFmtId="9" fontId="12" fillId="6" borderId="0" xfId="1" applyFont="1" applyFill="1" applyAlignment="1">
      <alignment horizontal="center" wrapText="1"/>
    </xf>
    <xf numFmtId="164" fontId="12" fillId="6" borderId="0" xfId="1" applyNumberFormat="1" applyFont="1" applyFill="1" applyAlignment="1">
      <alignment horizontal="center" wrapText="1"/>
    </xf>
    <xf numFmtId="0" fontId="18" fillId="14" borderId="20" xfId="0" applyFont="1" applyFill="1" applyBorder="1" applyAlignment="1">
      <alignment horizontal="left" wrapText="1"/>
    </xf>
    <xf numFmtId="0" fontId="8" fillId="0" borderId="0" xfId="0" applyFont="1" applyAlignment="1">
      <alignment horizontal="left" vertical="center"/>
    </xf>
    <xf numFmtId="2" fontId="6" fillId="0" borderId="0" xfId="0" applyNumberFormat="1" applyFont="1" applyAlignment="1">
      <alignment horizontal="left"/>
    </xf>
    <xf numFmtId="2" fontId="11" fillId="5" borderId="0" xfId="0" applyNumberFormat="1" applyFont="1" applyFill="1" applyAlignment="1">
      <alignment horizontal="left" wrapText="1"/>
    </xf>
    <xf numFmtId="2" fontId="0" fillId="0" borderId="0" xfId="0" applyNumberFormat="1" applyFont="1" applyAlignment="1">
      <alignment horizontal="left"/>
    </xf>
    <xf numFmtId="2" fontId="0" fillId="0" borderId="0" xfId="0" applyNumberFormat="1" applyFont="1" applyBorder="1" applyAlignment="1">
      <alignment horizontal="left"/>
    </xf>
    <xf numFmtId="164" fontId="1" fillId="0" borderId="0" xfId="1" applyNumberFormat="1" applyFont="1" applyAlignment="1">
      <alignment horizontal="left"/>
    </xf>
    <xf numFmtId="164" fontId="0" fillId="0" borderId="0" xfId="0" applyNumberFormat="1" applyFont="1" applyAlignment="1">
      <alignment horizontal="left"/>
    </xf>
    <xf numFmtId="0" fontId="0" fillId="15" borderId="0" xfId="0" applyFill="1" applyAlignment="1">
      <alignment horizontal="center"/>
    </xf>
    <xf numFmtId="1" fontId="14" fillId="0" borderId="0" xfId="0" applyNumberFormat="1" applyFont="1" applyAlignment="1">
      <alignment horizontal="left"/>
    </xf>
    <xf numFmtId="1" fontId="19" fillId="0" borderId="0" xfId="0" applyNumberFormat="1" applyFont="1" applyAlignment="1">
      <alignment horizontal="left"/>
    </xf>
    <xf numFmtId="0" fontId="20" fillId="0" borderId="0" xfId="2"/>
    <xf numFmtId="0" fontId="0" fillId="0" borderId="0" xfId="0" applyAlignment="1">
      <alignment wrapText="1"/>
    </xf>
    <xf numFmtId="0" fontId="0" fillId="0" borderId="0" xfId="0" applyAlignment="1">
      <alignment horizontal="left"/>
    </xf>
    <xf numFmtId="0" fontId="21" fillId="0" borderId="0" xfId="0" applyFont="1" applyAlignment="1">
      <alignment horizontal="left"/>
    </xf>
    <xf numFmtId="0" fontId="22" fillId="0" borderId="0" xfId="0" applyFont="1" applyAlignment="1">
      <alignment horizontal="left"/>
    </xf>
    <xf numFmtId="0" fontId="0" fillId="0" borderId="0" xfId="0" applyAlignment="1">
      <alignment vertical="center"/>
    </xf>
    <xf numFmtId="9" fontId="0" fillId="17" borderId="0" xfId="1" applyFont="1" applyFill="1"/>
    <xf numFmtId="9" fontId="9" fillId="16" borderId="0" xfId="1" applyFont="1" applyFill="1"/>
    <xf numFmtId="9" fontId="0" fillId="17" borderId="0" xfId="1" applyFont="1" applyFill="1" applyAlignment="1">
      <alignment horizontal="center"/>
    </xf>
    <xf numFmtId="9" fontId="0" fillId="16" borderId="0" xfId="1" applyFont="1" applyFill="1" applyAlignment="1">
      <alignment horizontal="center"/>
    </xf>
    <xf numFmtId="9" fontId="0" fillId="0" borderId="0" xfId="1" applyFont="1" applyAlignment="1">
      <alignment horizontal="left" vertical="top"/>
    </xf>
    <xf numFmtId="9" fontId="8" fillId="0" borderId="0" xfId="1" applyFont="1" applyAlignment="1">
      <alignment horizontal="left" vertical="top"/>
    </xf>
    <xf numFmtId="9" fontId="0" fillId="0" borderId="0" xfId="1" applyFont="1" applyFill="1" applyBorder="1" applyAlignment="1">
      <alignment wrapText="1"/>
    </xf>
    <xf numFmtId="9" fontId="0" fillId="0" borderId="0" xfId="1" applyFont="1" applyFill="1" applyBorder="1"/>
    <xf numFmtId="9" fontId="0" fillId="0" borderId="0" xfId="1" applyFont="1" applyFill="1" applyBorder="1" applyAlignment="1">
      <alignment horizontal="center"/>
    </xf>
    <xf numFmtId="9" fontId="3" fillId="0" borderId="0" xfId="1" applyFont="1" applyFill="1" applyBorder="1" applyAlignment="1">
      <alignment horizontal="left"/>
    </xf>
    <xf numFmtId="9" fontId="0" fillId="0" borderId="0" xfId="1" applyFont="1" applyFill="1" applyBorder="1" applyAlignment="1">
      <alignment horizontal="center" wrapText="1"/>
    </xf>
    <xf numFmtId="0" fontId="0" fillId="0" borderId="0" xfId="0"/>
    <xf numFmtId="0" fontId="0" fillId="0" borderId="0" xfId="0" applyAlignment="1">
      <alignment wrapText="1"/>
    </xf>
    <xf numFmtId="0" fontId="0" fillId="0" borderId="0" xfId="0" applyAlignment="1">
      <alignment horizontal="left" wrapText="1"/>
    </xf>
    <xf numFmtId="0" fontId="0" fillId="0" borderId="0" xfId="0"/>
    <xf numFmtId="0" fontId="3" fillId="0" borderId="0" xfId="0" applyFont="1" applyAlignment="1">
      <alignment horizontal="left" wrapText="1"/>
    </xf>
    <xf numFmtId="0" fontId="0" fillId="0" borderId="0" xfId="0" applyAlignment="1">
      <alignment horizontal="left" wrapText="1"/>
    </xf>
    <xf numFmtId="0" fontId="9" fillId="3" borderId="0" xfId="0" applyFont="1" applyFill="1" applyBorder="1" applyAlignment="1">
      <alignment horizontal="left"/>
    </xf>
    <xf numFmtId="0" fontId="0" fillId="0" borderId="0" xfId="0" applyAlignment="1">
      <alignment horizontal="left" vertical="top" wrapText="1"/>
    </xf>
    <xf numFmtId="0" fontId="17" fillId="12" borderId="1" xfId="0" applyFont="1" applyFill="1" applyBorder="1" applyAlignment="1">
      <alignment horizontal="left" vertical="center"/>
    </xf>
    <xf numFmtId="0" fontId="17" fillId="12" borderId="2" xfId="0" applyFont="1" applyFill="1" applyBorder="1" applyAlignment="1">
      <alignment horizontal="left" vertical="center"/>
    </xf>
    <xf numFmtId="0" fontId="17" fillId="12" borderId="3" xfId="0" applyFont="1" applyFill="1" applyBorder="1" applyAlignment="1">
      <alignment horizontal="left" vertical="center"/>
    </xf>
    <xf numFmtId="0" fontId="0" fillId="0" borderId="0" xfId="0" applyFont="1" applyAlignment="1">
      <alignment horizontal="left" wrapText="1"/>
    </xf>
    <xf numFmtId="0" fontId="16" fillId="3" borderId="20" xfId="0" applyFont="1" applyFill="1" applyBorder="1" applyAlignment="1">
      <alignment horizontal="center"/>
    </xf>
    <xf numFmtId="0" fontId="14" fillId="0" borderId="0" xfId="0" applyFont="1" applyAlignment="1">
      <alignment horizontal="left" wrapText="1"/>
    </xf>
    <xf numFmtId="0" fontId="16" fillId="3" borderId="21" xfId="0" applyFont="1" applyFill="1" applyBorder="1" applyAlignment="1">
      <alignment horizontal="left" wrapText="1"/>
    </xf>
    <xf numFmtId="0" fontId="16" fillId="3" borderId="22" xfId="0" applyFont="1" applyFill="1" applyBorder="1" applyAlignment="1">
      <alignment horizontal="left"/>
    </xf>
    <xf numFmtId="0" fontId="0" fillId="0" borderId="0" xfId="0" applyAlignment="1">
      <alignment horizontal="center" wrapText="1"/>
    </xf>
    <xf numFmtId="0" fontId="0" fillId="0" borderId="0" xfId="0"/>
    <xf numFmtId="0" fontId="0" fillId="4" borderId="0" xfId="0" applyFill="1" applyBorder="1" applyAlignment="1">
      <alignment horizontal="center" wrapText="1"/>
    </xf>
    <xf numFmtId="0" fontId="0" fillId="4" borderId="4" xfId="0" applyFill="1" applyBorder="1" applyAlignment="1">
      <alignment horizontal="center" wrapText="1"/>
    </xf>
    <xf numFmtId="0" fontId="0" fillId="4" borderId="0" xfId="0" applyFill="1" applyBorder="1" applyAlignment="1">
      <alignment horizontal="left"/>
    </xf>
    <xf numFmtId="0" fontId="0" fillId="4" borderId="4" xfId="0" applyFill="1" applyBorder="1" applyAlignment="1">
      <alignment horizontal="left"/>
    </xf>
    <xf numFmtId="0" fontId="12" fillId="6" borderId="0" xfId="0" applyFont="1" applyFill="1" applyAlignment="1">
      <alignment horizontal="left"/>
    </xf>
    <xf numFmtId="0" fontId="7" fillId="0" borderId="0" xfId="0" applyFont="1" applyAlignment="1">
      <alignment horizontal="left"/>
    </xf>
  </cellXfs>
  <cellStyles count="3">
    <cellStyle name="Hyperlink" xfId="2" builtinId="8"/>
    <cellStyle name="Normal" xfId="0" builtinId="0"/>
    <cellStyle name="Percent" xfId="1" builtinId="5"/>
  </cellStyles>
  <dxfs count="0"/>
  <tableStyles count="0" defaultTableStyle="TableStyleMedium2" defaultPivotStyle="PivotStyleLight16"/>
  <colors>
    <mruColors>
      <color rgb="FFFFB9B9"/>
      <color rgb="FFFF3300"/>
      <color rgb="FFFF9900"/>
      <color rgb="FFF94C07"/>
      <color rgb="FFFF4C0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cap="all" baseline="0"/>
              <a:t>marks achiEved by Assessment PERSPECTIVE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'Pupil Insight TEMPLATE'!$F$3</c:f>
              <c:strCache>
                <c:ptCount val="1"/>
              </c:strCache>
            </c:strRef>
          </c:tx>
          <c:spPr>
            <a:solidFill>
              <a:schemeClr val="accent1"/>
            </a:solidFill>
            <a:ln>
              <a:noFill/>
            </a:ln>
            <a:effectLst/>
          </c:spPr>
          <c:invertIfNegative val="0"/>
          <c:val>
            <c:numRef>
              <c:f>'Pupil Insight TEMPLATE'!$N$37:$N$41</c:f>
              <c:numCache>
                <c:formatCode>General</c:formatCode>
                <c:ptCount val="5"/>
              </c:numCache>
            </c:numRef>
          </c:val>
          <c:extLst>
            <c:ext xmlns:c15="http://schemas.microsoft.com/office/drawing/2012/chart" uri="{02D57815-91ED-43cb-92C2-25804820EDAC}">
              <c15:filteredCategoryTitle>
                <c15:cat>
                  <c:numRef>
                    <c:extLst>
                      <c:ext uri="{02D57815-91ED-43cb-92C2-25804820EDAC}">
                        <c15:formulaRef>
                          <c15:sqref>'Pupil Insight TEMPLATE'!$I$37:$I$41</c15:sqref>
                        </c15:formulaRef>
                      </c:ext>
                    </c:extLst>
                    <c:numCache>
                      <c:formatCode>General</c:formatCode>
                      <c:ptCount val="5"/>
                    </c:numCache>
                  </c:numRef>
                </c15:cat>
              </c15:filteredCategoryTitle>
            </c:ext>
            <c:ext xmlns:c16="http://schemas.microsoft.com/office/drawing/2014/chart" uri="{C3380CC4-5D6E-409C-BE32-E72D297353CC}">
              <c16:uniqueId val="{00000000-DDCD-4D0E-88F0-F53AF5394904}"/>
            </c:ext>
          </c:extLst>
        </c:ser>
        <c:ser>
          <c:idx val="2"/>
          <c:order val="1"/>
          <c:tx>
            <c:v>Class average</c:v>
          </c:tx>
          <c:spPr>
            <a:solidFill>
              <a:schemeClr val="accent1">
                <a:lumMod val="20000"/>
                <a:lumOff val="80000"/>
              </a:schemeClr>
            </a:solidFill>
            <a:ln>
              <a:noFill/>
            </a:ln>
            <a:effectLst/>
          </c:spPr>
          <c:invertIfNegative val="0"/>
          <c:val>
            <c:numLit>
              <c:formatCode>General</c:formatCode>
              <c:ptCount val="1"/>
              <c:pt idx="0">
                <c:v>1</c:v>
              </c:pt>
            </c:numLit>
          </c:val>
          <c:extLst>
            <c:ext xmlns:c16="http://schemas.microsoft.com/office/drawing/2014/chart" uri="{C3380CC4-5D6E-409C-BE32-E72D297353CC}">
              <c16:uniqueId val="{00000001-B273-4541-A3DE-12E3D9C0C1CC}"/>
            </c:ext>
          </c:extLst>
        </c:ser>
        <c:dLbls>
          <c:showLegendKey val="0"/>
          <c:showVal val="0"/>
          <c:showCatName val="0"/>
          <c:showSerName val="0"/>
          <c:showPercent val="0"/>
          <c:showBubbleSize val="0"/>
        </c:dLbls>
        <c:gapWidth val="219"/>
        <c:overlap val="-27"/>
        <c:axId val="1415199264"/>
        <c:axId val="1287506416"/>
      </c:barChart>
      <c:catAx>
        <c:axId val="14151992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Topic</a:t>
                </a:r>
                <a:r>
                  <a:rPr lang="en-GB" i="1" baseline="0"/>
                  <a:t> area</a:t>
                </a:r>
                <a:endParaRPr lang="en-GB" i="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506416"/>
        <c:crosses val="autoZero"/>
        <c:auto val="1"/>
        <c:lblAlgn val="ctr"/>
        <c:lblOffset val="100"/>
        <c:noMultiLvlLbl val="0"/>
      </c:catAx>
      <c:valAx>
        <c:axId val="1287506416"/>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Available</a:t>
                </a:r>
                <a:r>
                  <a:rPr lang="en-GB" i="1" baseline="0"/>
                  <a:t> marks achieved</a:t>
                </a:r>
                <a:endParaRPr lang="en-GB" i="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5199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cap="all" baseline="0"/>
              <a:t>marks achiEved by Assessment PERSPECTIVE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'Pupil Insight TEMPLATE'!$F$3</c:f>
              <c:strCache>
                <c:ptCount val="1"/>
              </c:strCache>
            </c:strRef>
          </c:tx>
          <c:spPr>
            <a:solidFill>
              <a:schemeClr val="accent1"/>
            </a:solidFill>
            <a:ln>
              <a:noFill/>
            </a:ln>
            <a:effectLst/>
          </c:spPr>
          <c:invertIfNegative val="0"/>
          <c:val>
            <c:numRef>
              <c:f>'Pupil Insight TEMPLATE'!$N$37:$N$41</c:f>
              <c:numCache>
                <c:formatCode>General</c:formatCode>
                <c:ptCount val="5"/>
              </c:numCache>
            </c:numRef>
          </c:val>
          <c:extLst>
            <c:ext xmlns:c15="http://schemas.microsoft.com/office/drawing/2012/chart" uri="{02D57815-91ED-43cb-92C2-25804820EDAC}">
              <c15:filteredCategoryTitle>
                <c15:cat>
                  <c:numRef>
                    <c:extLst>
                      <c:ext uri="{02D57815-91ED-43cb-92C2-25804820EDAC}">
                        <c15:formulaRef>
                          <c15:sqref>'Pupil Insight TEMPLATE'!$I$37:$I$41</c15:sqref>
                        </c15:formulaRef>
                      </c:ext>
                    </c:extLst>
                    <c:numCache>
                      <c:formatCode>General</c:formatCode>
                      <c:ptCount val="5"/>
                    </c:numCache>
                  </c:numRef>
                </c15:cat>
              </c15:filteredCategoryTitle>
            </c:ext>
            <c:ext xmlns:c16="http://schemas.microsoft.com/office/drawing/2014/chart" uri="{C3380CC4-5D6E-409C-BE32-E72D297353CC}">
              <c16:uniqueId val="{00000000-DDCD-4D0E-88F0-F53AF5394904}"/>
            </c:ext>
          </c:extLst>
        </c:ser>
        <c:ser>
          <c:idx val="2"/>
          <c:order val="1"/>
          <c:tx>
            <c:v>Class average</c:v>
          </c:tx>
          <c:spPr>
            <a:solidFill>
              <a:schemeClr val="accent1">
                <a:lumMod val="20000"/>
                <a:lumOff val="80000"/>
              </a:schemeClr>
            </a:solidFill>
            <a:ln>
              <a:noFill/>
            </a:ln>
            <a:effectLst/>
          </c:spPr>
          <c:invertIfNegative val="0"/>
          <c:val>
            <c:numLit>
              <c:formatCode>General</c:formatCode>
              <c:ptCount val="1"/>
              <c:pt idx="0">
                <c:v>1</c:v>
              </c:pt>
            </c:numLit>
          </c:val>
          <c:extLst>
            <c:ext xmlns:c16="http://schemas.microsoft.com/office/drawing/2014/chart" uri="{C3380CC4-5D6E-409C-BE32-E72D297353CC}">
              <c16:uniqueId val="{00000001-B273-4541-A3DE-12E3D9C0C1CC}"/>
            </c:ext>
          </c:extLst>
        </c:ser>
        <c:dLbls>
          <c:showLegendKey val="0"/>
          <c:showVal val="0"/>
          <c:showCatName val="0"/>
          <c:showSerName val="0"/>
          <c:showPercent val="0"/>
          <c:showBubbleSize val="0"/>
        </c:dLbls>
        <c:gapWidth val="219"/>
        <c:overlap val="-27"/>
        <c:axId val="1415199264"/>
        <c:axId val="1287506416"/>
      </c:barChart>
      <c:catAx>
        <c:axId val="14151992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Topic</a:t>
                </a:r>
                <a:r>
                  <a:rPr lang="en-GB" i="1" baseline="0"/>
                  <a:t> area</a:t>
                </a:r>
                <a:endParaRPr lang="en-GB" i="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506416"/>
        <c:crosses val="autoZero"/>
        <c:auto val="1"/>
        <c:lblAlgn val="ctr"/>
        <c:lblOffset val="100"/>
        <c:noMultiLvlLbl val="0"/>
      </c:catAx>
      <c:valAx>
        <c:axId val="1287506416"/>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Available</a:t>
                </a:r>
                <a:r>
                  <a:rPr lang="en-GB" i="1" baseline="0"/>
                  <a:t> marks achieved</a:t>
                </a:r>
                <a:endParaRPr lang="en-GB" i="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5199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vIncludeCohortDataInCharts"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vChart1ShowPctMarks" lockText="1" noThreeD="1"/>
</file>

<file path=xl/ctrlProps/ctrlProp11.xml><?xml version="1.0" encoding="utf-8"?>
<formControlPr xmlns="http://schemas.microsoft.com/office/spreadsheetml/2009/9/main" objectType="CheckBox" fmlaLink="vChart2ShowPctMarks" lockText="1" noThreeD="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7</xdr:row>
          <xdr:rowOff>66675</xdr:rowOff>
        </xdr:from>
        <xdr:to>
          <xdr:col>7</xdr:col>
          <xdr:colOff>304800</xdr:colOff>
          <xdr:row>8</xdr:row>
          <xdr:rowOff>419100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Add assessment and question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10</xdr:row>
          <xdr:rowOff>114300</xdr:rowOff>
        </xdr:from>
        <xdr:to>
          <xdr:col>7</xdr:col>
          <xdr:colOff>333375</xdr:colOff>
          <xdr:row>12</xdr:row>
          <xdr:rowOff>295275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1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133350</xdr:rowOff>
        </xdr:from>
        <xdr:to>
          <xdr:col>7</xdr:col>
          <xdr:colOff>295275</xdr:colOff>
          <xdr:row>14</xdr:row>
          <xdr:rowOff>142875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1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Pupil Insight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85725</xdr:rowOff>
        </xdr:from>
        <xdr:to>
          <xdr:col>7</xdr:col>
          <xdr:colOff>266700</xdr:colOff>
          <xdr:row>19</xdr:row>
          <xdr:rowOff>209550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100-00000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Cohort Insight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7</xdr:row>
          <xdr:rowOff>180975</xdr:rowOff>
        </xdr:from>
        <xdr:to>
          <xdr:col>24</xdr:col>
          <xdr:colOff>0</xdr:colOff>
          <xdr:row>9</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Include class and cohort averages within Pupil Insight Sheet charts (raw marks charts only)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114300</xdr:colOff>
          <xdr:row>5</xdr:row>
          <xdr:rowOff>38100</xdr:rowOff>
        </xdr:from>
        <xdr:to>
          <xdr:col>10</xdr:col>
          <xdr:colOff>571500</xdr:colOff>
          <xdr:row>7</xdr:row>
          <xdr:rowOff>57150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 Pupil Insight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2</xdr:row>
          <xdr:rowOff>66675</xdr:rowOff>
        </xdr:from>
        <xdr:to>
          <xdr:col>10</xdr:col>
          <xdr:colOff>561975</xdr:colOff>
          <xdr:row>4</xdr:row>
          <xdr:rowOff>76200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114300</xdr:colOff>
          <xdr:row>7</xdr:row>
          <xdr:rowOff>180975</xdr:rowOff>
        </xdr:from>
        <xdr:to>
          <xdr:col>10</xdr:col>
          <xdr:colOff>571500</xdr:colOff>
          <xdr:row>10</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300-00000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 Cohort Insight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820206</xdr:colOff>
      <xdr:row>4</xdr:row>
      <xdr:rowOff>111133</xdr:rowOff>
    </xdr:to>
    <xdr:pic>
      <xdr:nvPicPr>
        <xdr:cNvPr id="2" name="Picture 1" descr="See the source image">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820206" cy="10445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38100</xdr:colOff>
      <xdr:row>6</xdr:row>
      <xdr:rowOff>30162</xdr:rowOff>
    </xdr:from>
    <xdr:to>
      <xdr:col>20</xdr:col>
      <xdr:colOff>9525</xdr:colOff>
      <xdr:row>34</xdr:row>
      <xdr:rowOff>106363</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204527</xdr:colOff>
      <xdr:row>0</xdr:row>
      <xdr:rowOff>38100</xdr:rowOff>
    </xdr:from>
    <xdr:to>
      <xdr:col>2</xdr:col>
      <xdr:colOff>283900</xdr:colOff>
      <xdr:row>3</xdr:row>
      <xdr:rowOff>255066</xdr:rowOff>
    </xdr:to>
    <xdr:pic>
      <xdr:nvPicPr>
        <xdr:cNvPr id="3" name="Picture 2" descr="See the source image">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4527" y="38100"/>
          <a:ext cx="813857" cy="1019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228600</xdr:colOff>
          <xdr:row>0</xdr:row>
          <xdr:rowOff>371475</xdr:rowOff>
        </xdr:from>
        <xdr:to>
          <xdr:col>19</xdr:col>
          <xdr:colOff>781050</xdr:colOff>
          <xdr:row>4</xdr:row>
          <xdr:rowOff>19050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Pupil Insight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34</xdr:row>
          <xdr:rowOff>152400</xdr:rowOff>
        </xdr:from>
        <xdr:to>
          <xdr:col>12</xdr:col>
          <xdr:colOff>38100</xdr:colOff>
          <xdr:row>36</xdr:row>
          <xdr:rowOff>38100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7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Show % of available marks</a:t>
              </a:r>
            </a:p>
          </xdr:txBody>
        </xdr:sp>
        <xdr:clientData fPrintsWithSheet="0"/>
      </xdr:twoCellAnchor>
    </mc:Choice>
    <mc:Fallback/>
  </mc:AlternateContent>
  <xdr:twoCellAnchor editAs="oneCell">
    <xdr:from>
      <xdr:col>21</xdr:col>
      <xdr:colOff>9525</xdr:colOff>
      <xdr:row>6</xdr:row>
      <xdr:rowOff>29104</xdr:rowOff>
    </xdr:from>
    <xdr:to>
      <xdr:col>31</xdr:col>
      <xdr:colOff>15374</xdr:colOff>
      <xdr:row>34</xdr:row>
      <xdr:rowOff>105307</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66675</xdr:colOff>
          <xdr:row>34</xdr:row>
          <xdr:rowOff>152400</xdr:rowOff>
        </xdr:from>
        <xdr:to>
          <xdr:col>22</xdr:col>
          <xdr:colOff>219075</xdr:colOff>
          <xdr:row>36</xdr:row>
          <xdr:rowOff>38100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7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Show % of available marks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rebeccaallen.co.uk/2019/04/27/grading-game-part-iii/" TargetMode="Externa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E8BF8-FBCB-4F23-AF52-2C20EDDACC1A}">
  <sheetPr codeName="Sheet3" filterMode="1">
    <tabColor rgb="FFFFFF00"/>
  </sheetPr>
  <dimension ref="A1:E34"/>
  <sheetViews>
    <sheetView workbookViewId="0"/>
  </sheetViews>
  <sheetFormatPr defaultColWidth="8.85546875" defaultRowHeight="15" x14ac:dyDescent="0.25"/>
  <cols>
    <col min="1" max="1" width="77.7109375" customWidth="1"/>
    <col min="4" max="4" width="10.28515625" customWidth="1"/>
  </cols>
  <sheetData>
    <row r="1" spans="1:5" s="63" customFormat="1" x14ac:dyDescent="0.25">
      <c r="A1" s="62" t="s">
        <v>21</v>
      </c>
      <c r="B1" s="62" t="s">
        <v>22</v>
      </c>
      <c r="C1" s="62" t="s">
        <v>23</v>
      </c>
      <c r="D1" s="62" t="s">
        <v>30</v>
      </c>
    </row>
    <row r="2" spans="1:5" hidden="1" x14ac:dyDescent="0.25">
      <c r="A2" t="s">
        <v>16</v>
      </c>
      <c r="B2" t="s">
        <v>27</v>
      </c>
      <c r="C2" t="s">
        <v>24</v>
      </c>
      <c r="D2" t="s">
        <v>31</v>
      </c>
    </row>
    <row r="3" spans="1:5" hidden="1" x14ac:dyDescent="0.25">
      <c r="A3" t="s">
        <v>29</v>
      </c>
      <c r="B3" t="s">
        <v>27</v>
      </c>
      <c r="C3" t="s">
        <v>24</v>
      </c>
      <c r="D3" t="s">
        <v>31</v>
      </c>
    </row>
    <row r="4" spans="1:5" hidden="1" x14ac:dyDescent="0.25">
      <c r="A4" t="s">
        <v>17</v>
      </c>
      <c r="B4" t="s">
        <v>27</v>
      </c>
      <c r="C4" t="s">
        <v>25</v>
      </c>
      <c r="D4" t="s">
        <v>31</v>
      </c>
    </row>
    <row r="5" spans="1:5" hidden="1" x14ac:dyDescent="0.25">
      <c r="A5" t="s">
        <v>18</v>
      </c>
      <c r="B5" t="s">
        <v>25</v>
      </c>
      <c r="C5" t="s">
        <v>26</v>
      </c>
      <c r="D5" t="s">
        <v>31</v>
      </c>
    </row>
    <row r="6" spans="1:5" hidden="1" x14ac:dyDescent="0.25">
      <c r="A6" t="s">
        <v>19</v>
      </c>
      <c r="B6" t="s">
        <v>25</v>
      </c>
      <c r="C6" t="s">
        <v>25</v>
      </c>
      <c r="D6" t="s">
        <v>31</v>
      </c>
    </row>
    <row r="7" spans="1:5" hidden="1" x14ac:dyDescent="0.25">
      <c r="A7" t="s">
        <v>20</v>
      </c>
      <c r="B7" t="s">
        <v>25</v>
      </c>
      <c r="C7" t="s">
        <v>24</v>
      </c>
      <c r="D7" t="s">
        <v>31</v>
      </c>
    </row>
    <row r="8" spans="1:5" hidden="1" x14ac:dyDescent="0.25">
      <c r="A8" t="s">
        <v>28</v>
      </c>
      <c r="B8" t="s">
        <v>25</v>
      </c>
      <c r="C8" t="s">
        <v>25</v>
      </c>
      <c r="D8" t="s">
        <v>31</v>
      </c>
    </row>
    <row r="9" spans="1:5" hidden="1" x14ac:dyDescent="0.25">
      <c r="A9" t="s">
        <v>49</v>
      </c>
      <c r="B9" t="s">
        <v>25</v>
      </c>
      <c r="C9" t="s">
        <v>25</v>
      </c>
      <c r="D9" t="s">
        <v>31</v>
      </c>
    </row>
    <row r="10" spans="1:5" hidden="1" x14ac:dyDescent="0.25">
      <c r="A10" t="s">
        <v>33</v>
      </c>
      <c r="B10" t="s">
        <v>25</v>
      </c>
      <c r="C10" t="s">
        <v>25</v>
      </c>
      <c r="D10" t="s">
        <v>31</v>
      </c>
    </row>
    <row r="11" spans="1:5" hidden="1" x14ac:dyDescent="0.25">
      <c r="A11" t="s">
        <v>41</v>
      </c>
      <c r="B11" t="s">
        <v>25</v>
      </c>
      <c r="C11" t="s">
        <v>25</v>
      </c>
      <c r="D11" t="s">
        <v>31</v>
      </c>
    </row>
    <row r="12" spans="1:5" hidden="1" x14ac:dyDescent="0.25">
      <c r="A12" t="s">
        <v>43</v>
      </c>
      <c r="B12" t="s">
        <v>25</v>
      </c>
      <c r="C12" t="s">
        <v>25</v>
      </c>
      <c r="D12" t="s">
        <v>31</v>
      </c>
    </row>
    <row r="13" spans="1:5" x14ac:dyDescent="0.25">
      <c r="A13" t="s">
        <v>44</v>
      </c>
      <c r="B13" t="s">
        <v>25</v>
      </c>
      <c r="C13" t="s">
        <v>25</v>
      </c>
      <c r="D13" t="s">
        <v>55</v>
      </c>
      <c r="E13" t="s">
        <v>54</v>
      </c>
    </row>
    <row r="14" spans="1:5" hidden="1" x14ac:dyDescent="0.25">
      <c r="A14" t="s">
        <v>45</v>
      </c>
      <c r="B14" t="s">
        <v>42</v>
      </c>
      <c r="C14" t="s">
        <v>24</v>
      </c>
      <c r="D14" t="s">
        <v>31</v>
      </c>
    </row>
    <row r="15" spans="1:5" hidden="1" x14ac:dyDescent="0.25">
      <c r="A15" t="s">
        <v>46</v>
      </c>
      <c r="B15" t="s">
        <v>25</v>
      </c>
      <c r="C15" t="s">
        <v>24</v>
      </c>
      <c r="D15" t="s">
        <v>31</v>
      </c>
    </row>
    <row r="16" spans="1:5" hidden="1" x14ac:dyDescent="0.25">
      <c r="A16" t="s">
        <v>48</v>
      </c>
      <c r="B16" t="s">
        <v>25</v>
      </c>
      <c r="C16" t="s">
        <v>24</v>
      </c>
      <c r="D16" t="s">
        <v>31</v>
      </c>
    </row>
    <row r="17" spans="1:5" hidden="1" x14ac:dyDescent="0.25">
      <c r="A17" t="s">
        <v>56</v>
      </c>
      <c r="B17" t="s">
        <v>25</v>
      </c>
      <c r="C17" t="s">
        <v>25</v>
      </c>
      <c r="D17" t="s">
        <v>31</v>
      </c>
    </row>
    <row r="18" spans="1:5" hidden="1" x14ac:dyDescent="0.25">
      <c r="A18" t="s">
        <v>57</v>
      </c>
      <c r="B18" t="s">
        <v>27</v>
      </c>
      <c r="C18" t="s">
        <v>24</v>
      </c>
      <c r="D18" t="s">
        <v>31</v>
      </c>
    </row>
    <row r="19" spans="1:5" hidden="1" x14ac:dyDescent="0.25">
      <c r="A19" t="s">
        <v>58</v>
      </c>
      <c r="B19" t="s">
        <v>27</v>
      </c>
      <c r="C19" t="s">
        <v>25</v>
      </c>
      <c r="D19" t="s">
        <v>31</v>
      </c>
    </row>
    <row r="20" spans="1:5" hidden="1" x14ac:dyDescent="0.25">
      <c r="A20" t="s">
        <v>59</v>
      </c>
      <c r="B20" t="s">
        <v>25</v>
      </c>
      <c r="C20" t="s">
        <v>25</v>
      </c>
      <c r="D20" t="s">
        <v>31</v>
      </c>
    </row>
    <row r="21" spans="1:5" x14ac:dyDescent="0.25">
      <c r="A21" t="s">
        <v>70</v>
      </c>
      <c r="B21" t="s">
        <v>25</v>
      </c>
      <c r="C21" t="s">
        <v>26</v>
      </c>
    </row>
    <row r="22" spans="1:5" hidden="1" x14ac:dyDescent="0.25">
      <c r="A22" t="s">
        <v>60</v>
      </c>
      <c r="B22" t="s">
        <v>27</v>
      </c>
      <c r="C22" t="s">
        <v>25</v>
      </c>
      <c r="D22" t="s">
        <v>31</v>
      </c>
    </row>
    <row r="23" spans="1:5" ht="31.5" hidden="1" x14ac:dyDescent="0.25">
      <c r="A23" s="67" t="s">
        <v>68</v>
      </c>
      <c r="B23" t="s">
        <v>25</v>
      </c>
      <c r="C23" t="s">
        <v>24</v>
      </c>
      <c r="D23" t="s">
        <v>31</v>
      </c>
    </row>
    <row r="24" spans="1:5" ht="15.75" hidden="1" x14ac:dyDescent="0.25">
      <c r="A24" s="67" t="s">
        <v>61</v>
      </c>
      <c r="B24" t="s">
        <v>27</v>
      </c>
      <c r="C24" t="s">
        <v>25</v>
      </c>
      <c r="D24" t="s">
        <v>31</v>
      </c>
    </row>
    <row r="25" spans="1:5" ht="15.75" hidden="1" x14ac:dyDescent="0.25">
      <c r="A25" s="67" t="s">
        <v>62</v>
      </c>
      <c r="B25" t="s">
        <v>25</v>
      </c>
      <c r="C25" t="s">
        <v>25</v>
      </c>
      <c r="D25" t="s">
        <v>31</v>
      </c>
    </row>
    <row r="26" spans="1:5" ht="15.75" hidden="1" x14ac:dyDescent="0.25">
      <c r="A26" s="67" t="s">
        <v>63</v>
      </c>
      <c r="B26" t="s">
        <v>27</v>
      </c>
      <c r="C26" t="s">
        <v>24</v>
      </c>
      <c r="D26" t="s">
        <v>31</v>
      </c>
    </row>
    <row r="27" spans="1:5" ht="15.75" hidden="1" x14ac:dyDescent="0.25">
      <c r="A27" s="67" t="s">
        <v>64</v>
      </c>
      <c r="B27" t="s">
        <v>25</v>
      </c>
      <c r="C27" t="s">
        <v>25</v>
      </c>
      <c r="D27" t="s">
        <v>31</v>
      </c>
    </row>
    <row r="28" spans="1:5" ht="15.75" hidden="1" x14ac:dyDescent="0.25">
      <c r="A28" s="67" t="s">
        <v>69</v>
      </c>
      <c r="B28" t="s">
        <v>25</v>
      </c>
      <c r="C28" t="s">
        <v>25</v>
      </c>
      <c r="D28" t="s">
        <v>31</v>
      </c>
    </row>
    <row r="29" spans="1:5" x14ac:dyDescent="0.25">
      <c r="A29" t="s">
        <v>71</v>
      </c>
      <c r="B29" t="s">
        <v>42</v>
      </c>
      <c r="C29" t="s">
        <v>25</v>
      </c>
      <c r="D29" t="s">
        <v>73</v>
      </c>
      <c r="E29" t="s">
        <v>72</v>
      </c>
    </row>
    <row r="31" spans="1:5" ht="15.75" x14ac:dyDescent="0.25">
      <c r="A31" s="67" t="s">
        <v>65</v>
      </c>
    </row>
    <row r="33" spans="1:1" x14ac:dyDescent="0.25">
      <c r="A33" t="s">
        <v>74</v>
      </c>
    </row>
    <row r="34" spans="1:1" ht="45" x14ac:dyDescent="0.25">
      <c r="A34" s="72" t="s">
        <v>75</v>
      </c>
    </row>
  </sheetData>
  <autoFilter ref="A1:E29" xr:uid="{BF87E3B9-C44F-4D5D-8FF6-C685BF328E66}">
    <filterColumn colId="3">
      <filters blank="1">
        <filter val="N"/>
        <filter val="Unconfirmed"/>
      </filters>
    </filterColumn>
  </autoFilter>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A96BC-A71A-40CC-A39A-F21221D033D2}">
  <sheetPr codeName="Sheet1">
    <tabColor theme="9"/>
  </sheetPr>
  <dimension ref="A1:H27"/>
  <sheetViews>
    <sheetView tabSelected="1" workbookViewId="0">
      <selection activeCell="A2" sqref="A2"/>
    </sheetView>
  </sheetViews>
  <sheetFormatPr defaultColWidth="8.85546875" defaultRowHeight="15" x14ac:dyDescent="0.25"/>
  <cols>
    <col min="1" max="1" width="5.28515625" style="125" customWidth="1"/>
    <col min="2" max="2" width="85.85546875" style="125" customWidth="1"/>
    <col min="5" max="5" width="4.140625" customWidth="1"/>
    <col min="6" max="6" width="9.28515625" customWidth="1"/>
    <col min="7" max="7" width="13.85546875" customWidth="1"/>
  </cols>
  <sheetData>
    <row r="1" spans="1:8" ht="26.25" x14ac:dyDescent="0.4">
      <c r="A1" s="73" t="s">
        <v>76</v>
      </c>
    </row>
    <row r="2" spans="1:8" x14ac:dyDescent="0.25">
      <c r="A2" s="52" t="str">
        <f>'AEAS Info'!B4</f>
        <v>January 2022 Beta B</v>
      </c>
    </row>
    <row r="3" spans="1:8" x14ac:dyDescent="0.25">
      <c r="A3" s="52"/>
    </row>
    <row r="4" spans="1:8" ht="18.75" x14ac:dyDescent="0.3">
      <c r="A4" s="15" t="s">
        <v>11</v>
      </c>
      <c r="E4" s="80"/>
      <c r="F4" s="81"/>
      <c r="G4" s="81"/>
      <c r="H4" s="82"/>
    </row>
    <row r="5" spans="1:8" ht="18.75" x14ac:dyDescent="0.3">
      <c r="E5" s="83"/>
      <c r="F5" s="128" t="s">
        <v>83</v>
      </c>
      <c r="G5" s="128"/>
      <c r="H5" s="85"/>
    </row>
    <row r="6" spans="1:8" x14ac:dyDescent="0.25">
      <c r="A6" s="125" t="s">
        <v>176</v>
      </c>
      <c r="E6" s="83"/>
      <c r="F6" s="84"/>
      <c r="G6" s="84"/>
      <c r="H6" s="85"/>
    </row>
    <row r="7" spans="1:8" x14ac:dyDescent="0.25">
      <c r="E7" s="83"/>
      <c r="F7" s="84" t="s">
        <v>84</v>
      </c>
      <c r="G7" s="84"/>
      <c r="H7" s="85"/>
    </row>
    <row r="8" spans="1:8" x14ac:dyDescent="0.25">
      <c r="B8" s="1" t="s">
        <v>78</v>
      </c>
      <c r="E8" s="83"/>
      <c r="F8" s="84"/>
      <c r="G8" s="84"/>
      <c r="H8" s="85"/>
    </row>
    <row r="9" spans="1:8" ht="35.85" customHeight="1" x14ac:dyDescent="0.25">
      <c r="B9" s="129" t="s">
        <v>177</v>
      </c>
      <c r="E9" s="83"/>
      <c r="F9" s="84"/>
      <c r="G9" s="84"/>
      <c r="H9" s="85"/>
    </row>
    <row r="10" spans="1:8" ht="23.85" customHeight="1" x14ac:dyDescent="0.25">
      <c r="B10" s="129"/>
      <c r="E10" s="83"/>
      <c r="F10" s="84" t="s">
        <v>85</v>
      </c>
      <c r="G10" s="84"/>
      <c r="H10" s="85"/>
    </row>
    <row r="11" spans="1:8" x14ac:dyDescent="0.25">
      <c r="E11" s="83"/>
      <c r="F11" s="84"/>
      <c r="G11" s="84"/>
      <c r="H11" s="85"/>
    </row>
    <row r="12" spans="1:8" x14ac:dyDescent="0.25">
      <c r="B12" s="1" t="s">
        <v>79</v>
      </c>
      <c r="E12" s="83"/>
      <c r="F12" s="84"/>
      <c r="G12" s="84"/>
      <c r="H12" s="85"/>
    </row>
    <row r="13" spans="1:8" ht="50.1" customHeight="1" x14ac:dyDescent="0.25">
      <c r="B13" s="129" t="s">
        <v>178</v>
      </c>
      <c r="E13" s="83"/>
      <c r="F13" s="84" t="s">
        <v>86</v>
      </c>
      <c r="G13" s="84"/>
      <c r="H13" s="85"/>
    </row>
    <row r="14" spans="1:8" ht="42" customHeight="1" x14ac:dyDescent="0.25">
      <c r="B14" s="129"/>
      <c r="E14" s="83"/>
      <c r="F14" s="84"/>
      <c r="G14" s="84"/>
      <c r="H14" s="85"/>
    </row>
    <row r="15" spans="1:8" x14ac:dyDescent="0.25">
      <c r="B15" s="129"/>
      <c r="E15" s="83"/>
      <c r="F15" s="84"/>
      <c r="G15" s="84"/>
      <c r="H15" s="85"/>
    </row>
    <row r="16" spans="1:8" x14ac:dyDescent="0.25">
      <c r="B16" s="129"/>
      <c r="E16" s="83"/>
      <c r="F16" s="84"/>
      <c r="G16" s="84"/>
      <c r="H16" s="85"/>
    </row>
    <row r="17" spans="1:8" ht="15" customHeight="1" x14ac:dyDescent="0.25">
      <c r="E17" s="83"/>
      <c r="F17" s="84" t="s">
        <v>87</v>
      </c>
      <c r="G17" s="84"/>
      <c r="H17" s="85"/>
    </row>
    <row r="18" spans="1:8" x14ac:dyDescent="0.25">
      <c r="B18" s="1" t="s">
        <v>80</v>
      </c>
      <c r="E18" s="83"/>
      <c r="F18" s="84"/>
      <c r="G18" s="84"/>
      <c r="H18" s="85"/>
    </row>
    <row r="19" spans="1:8" ht="21" customHeight="1" x14ac:dyDescent="0.25">
      <c r="B19" s="127" t="s">
        <v>77</v>
      </c>
      <c r="E19" s="83"/>
      <c r="F19" s="84"/>
      <c r="G19" s="84"/>
      <c r="H19" s="85"/>
    </row>
    <row r="20" spans="1:8" ht="28.5" customHeight="1" x14ac:dyDescent="0.25">
      <c r="B20" s="127"/>
      <c r="E20" s="86"/>
      <c r="F20" s="87"/>
      <c r="G20" s="87"/>
      <c r="H20" s="88"/>
    </row>
    <row r="21" spans="1:8" ht="30" customHeight="1" x14ac:dyDescent="0.25">
      <c r="A21" s="123"/>
      <c r="B21" s="127"/>
      <c r="C21" s="123"/>
      <c r="D21" s="123"/>
    </row>
    <row r="22" spans="1:8" ht="27" customHeight="1" x14ac:dyDescent="0.25">
      <c r="B22" s="126" t="s">
        <v>179</v>
      </c>
    </row>
    <row r="23" spans="1:8" ht="75" x14ac:dyDescent="0.25">
      <c r="B23" s="124" t="s">
        <v>180</v>
      </c>
    </row>
    <row r="25" spans="1:8" x14ac:dyDescent="0.25">
      <c r="B25" s="1" t="s">
        <v>81</v>
      </c>
    </row>
    <row r="26" spans="1:8" ht="15" customHeight="1" x14ac:dyDescent="0.25">
      <c r="B26" s="127" t="s">
        <v>82</v>
      </c>
    </row>
    <row r="27" spans="1:8" x14ac:dyDescent="0.25">
      <c r="A27" s="123"/>
      <c r="B27" s="127"/>
    </row>
  </sheetData>
  <sheetProtection algorithmName="SHA-512" hashValue="MsIL28xAilr+KDYaSJeNPmJimBpfYV2lI+NT8SP+npAiRZhYPmKFM+x5lfxQo0bGUhryp6/KzvR7JSfqai63dQ==" saltValue="dFI73jlCwv26gdz3w4HI4A==" spinCount="100000" sheet="1" objects="1" scenarios="1" selectLockedCells="1" selectUnlockedCells="1"/>
  <mergeCells count="5">
    <mergeCell ref="B19:B21"/>
    <mergeCell ref="B26:B27"/>
    <mergeCell ref="F5:G5"/>
    <mergeCell ref="B9:B10"/>
    <mergeCell ref="B13:B1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selectSetupTab">
                <anchor moveWithCells="1" sizeWithCells="1">
                  <from>
                    <xdr:col>4</xdr:col>
                    <xdr:colOff>295275</xdr:colOff>
                    <xdr:row>7</xdr:row>
                    <xdr:rowOff>66675</xdr:rowOff>
                  </from>
                  <to>
                    <xdr:col>7</xdr:col>
                    <xdr:colOff>304800</xdr:colOff>
                    <xdr:row>8</xdr:row>
                    <xdr:rowOff>419100</xdr:rowOff>
                  </to>
                </anchor>
              </controlPr>
            </control>
          </mc:Choice>
        </mc:AlternateContent>
        <mc:AlternateContent xmlns:mc="http://schemas.openxmlformats.org/markup-compatibility/2006">
          <mc:Choice Requires="x14">
            <control shapeId="16387" r:id="rId5" name="Button 3">
              <controlPr defaultSize="0" print="0" autoFill="0" autoPict="0" macro="[0]!setupDataEntrySheet">
                <anchor moveWithCells="1" sizeWithCells="1">
                  <from>
                    <xdr:col>5</xdr:col>
                    <xdr:colOff>0</xdr:colOff>
                    <xdr:row>10</xdr:row>
                    <xdr:rowOff>114300</xdr:rowOff>
                  </from>
                  <to>
                    <xdr:col>7</xdr:col>
                    <xdr:colOff>333375</xdr:colOff>
                    <xdr:row>12</xdr:row>
                    <xdr:rowOff>295275</xdr:rowOff>
                  </to>
                </anchor>
              </controlPr>
            </control>
          </mc:Choice>
        </mc:AlternateContent>
        <mc:AlternateContent xmlns:mc="http://schemas.openxmlformats.org/markup-compatibility/2006">
          <mc:Choice Requires="x14">
            <control shapeId="16390" r:id="rId6" name="Button 6">
              <controlPr defaultSize="0" print="0" autoFill="0" autoPict="0" macro="[0]!PIS_GeneratePIS">
                <anchor moveWithCells="1" sizeWithCells="1">
                  <from>
                    <xdr:col>5</xdr:col>
                    <xdr:colOff>0</xdr:colOff>
                    <xdr:row>13</xdr:row>
                    <xdr:rowOff>133350</xdr:rowOff>
                  </from>
                  <to>
                    <xdr:col>7</xdr:col>
                    <xdr:colOff>295275</xdr:colOff>
                    <xdr:row>14</xdr:row>
                    <xdr:rowOff>142875</xdr:rowOff>
                  </to>
                </anchor>
              </controlPr>
            </control>
          </mc:Choice>
        </mc:AlternateContent>
        <mc:AlternateContent xmlns:mc="http://schemas.openxmlformats.org/markup-compatibility/2006">
          <mc:Choice Requires="x14">
            <control shapeId="16391" r:id="rId7" name="Button 7">
              <controlPr defaultSize="0" print="0" autoFill="0" autoPict="0" macro="[0]!CIS_Create_Cohort_Insight_Sheets">
                <anchor moveWithCells="1" sizeWithCells="1">
                  <from>
                    <xdr:col>5</xdr:col>
                    <xdr:colOff>0</xdr:colOff>
                    <xdr:row>17</xdr:row>
                    <xdr:rowOff>85725</xdr:rowOff>
                  </from>
                  <to>
                    <xdr:col>7</xdr:col>
                    <xdr:colOff>266700</xdr:colOff>
                    <xdr:row>19</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495D1-109F-4D1E-BFCC-F870730D1886}">
  <sheetPr codeName="Sheet4"/>
  <dimension ref="A1:V70"/>
  <sheetViews>
    <sheetView workbookViewId="0">
      <selection activeCell="A2" sqref="A2:D2"/>
    </sheetView>
  </sheetViews>
  <sheetFormatPr defaultColWidth="8.85546875" defaultRowHeight="15" x14ac:dyDescent="0.25"/>
  <cols>
    <col min="1" max="1" width="8.28515625" style="71" customWidth="1"/>
    <col min="2" max="2" width="10.85546875" style="71" customWidth="1"/>
    <col min="3" max="3" width="42.28515625" style="76" customWidth="1"/>
    <col min="4" max="4" width="39.28515625" style="76" customWidth="1"/>
    <col min="5" max="5" width="38.7109375" style="76" customWidth="1"/>
    <col min="6" max="6" width="4.28515625" customWidth="1"/>
    <col min="8" max="8" width="14.7109375" customWidth="1"/>
    <col min="9" max="9" width="5.28515625" customWidth="1"/>
    <col min="15" max="15" width="4.7109375" customWidth="1"/>
    <col min="16" max="16" width="8.85546875" customWidth="1"/>
  </cols>
  <sheetData>
    <row r="1" spans="1:22" ht="33.75" customHeight="1" x14ac:dyDescent="0.4">
      <c r="A1" s="73" t="s">
        <v>98</v>
      </c>
      <c r="B1" s="74"/>
      <c r="D1" s="76" t="s">
        <v>99</v>
      </c>
      <c r="F1" s="17"/>
      <c r="G1" s="17"/>
      <c r="H1" s="17"/>
      <c r="I1" s="17"/>
      <c r="J1" s="17"/>
      <c r="K1" s="17"/>
      <c r="L1" s="17"/>
      <c r="M1" s="17"/>
      <c r="N1" s="17"/>
      <c r="O1" s="17"/>
    </row>
    <row r="2" spans="1:22" ht="21" customHeight="1" x14ac:dyDescent="0.25">
      <c r="A2" s="130" t="s">
        <v>122</v>
      </c>
      <c r="B2" s="131"/>
      <c r="C2" s="131"/>
      <c r="D2" s="132"/>
      <c r="E2" s="77"/>
      <c r="F2" s="17"/>
      <c r="G2" s="17"/>
      <c r="H2" s="17"/>
      <c r="I2" s="17"/>
      <c r="J2" s="17"/>
      <c r="K2" s="17"/>
      <c r="L2" s="17"/>
      <c r="M2" s="17"/>
      <c r="N2" s="17"/>
      <c r="O2" s="17"/>
    </row>
    <row r="3" spans="1:22" ht="14.25" customHeight="1" x14ac:dyDescent="0.25">
      <c r="A3" s="74"/>
      <c r="B3" s="74"/>
    </row>
    <row r="4" spans="1:22" ht="26.25" x14ac:dyDescent="0.4">
      <c r="A4" s="73" t="s">
        <v>97</v>
      </c>
      <c r="B4" s="74"/>
      <c r="G4" s="16" t="s">
        <v>6</v>
      </c>
      <c r="P4" s="16" t="s">
        <v>131</v>
      </c>
    </row>
    <row r="5" spans="1:22" x14ac:dyDescent="0.25">
      <c r="A5" s="75" t="s">
        <v>11</v>
      </c>
      <c r="B5" s="74"/>
      <c r="G5" s="1" t="s">
        <v>11</v>
      </c>
      <c r="P5" s="1" t="s">
        <v>11</v>
      </c>
      <c r="R5" s="32"/>
    </row>
    <row r="6" spans="1:22" ht="38.25" customHeight="1" x14ac:dyDescent="0.25">
      <c r="A6" s="135" t="s">
        <v>121</v>
      </c>
      <c r="B6" s="135"/>
      <c r="C6" s="135"/>
      <c r="D6" s="135"/>
      <c r="E6" s="135"/>
      <c r="G6" s="129" t="s">
        <v>100</v>
      </c>
      <c r="H6" s="129"/>
      <c r="I6" s="129"/>
      <c r="J6" s="129"/>
      <c r="K6" s="129"/>
      <c r="L6" s="129"/>
      <c r="M6" s="129"/>
      <c r="P6" s="129" t="s">
        <v>132</v>
      </c>
      <c r="Q6" s="129"/>
      <c r="R6" s="129"/>
      <c r="S6" s="129"/>
      <c r="T6" s="129"/>
      <c r="U6" s="129"/>
      <c r="V6" s="129"/>
    </row>
    <row r="7" spans="1:22" ht="54" customHeight="1" x14ac:dyDescent="0.25">
      <c r="A7" s="135"/>
      <c r="B7" s="135"/>
      <c r="C7" s="135"/>
      <c r="D7" s="135"/>
      <c r="E7" s="135"/>
      <c r="G7" s="129"/>
      <c r="H7" s="129"/>
      <c r="I7" s="129"/>
      <c r="J7" s="129"/>
      <c r="K7" s="129"/>
      <c r="L7" s="129"/>
      <c r="M7" s="129"/>
      <c r="P7" s="129"/>
      <c r="Q7" s="129"/>
      <c r="R7" s="129"/>
      <c r="S7" s="129"/>
      <c r="T7" s="129"/>
      <c r="U7" s="129"/>
      <c r="V7" s="129"/>
    </row>
    <row r="8" spans="1:22" x14ac:dyDescent="0.25">
      <c r="A8" s="74"/>
      <c r="B8" s="74"/>
    </row>
    <row r="9" spans="1:22" x14ac:dyDescent="0.25">
      <c r="A9" s="134" t="s">
        <v>96</v>
      </c>
      <c r="B9" s="134" t="s">
        <v>0</v>
      </c>
      <c r="C9" s="136" t="s">
        <v>109</v>
      </c>
      <c r="D9" s="89" t="s">
        <v>120</v>
      </c>
      <c r="E9" s="89" t="s">
        <v>119</v>
      </c>
    </row>
    <row r="10" spans="1:22" s="1" customFormat="1" ht="16.5" customHeight="1" x14ac:dyDescent="0.25">
      <c r="A10" s="134"/>
      <c r="B10" s="134"/>
      <c r="C10" s="137"/>
      <c r="D10" s="94" t="s">
        <v>150</v>
      </c>
      <c r="E10" s="94" t="s">
        <v>151</v>
      </c>
      <c r="G10" s="19" t="s">
        <v>1</v>
      </c>
      <c r="H10" s="20" t="s">
        <v>12</v>
      </c>
      <c r="J10" s="1" t="s">
        <v>37</v>
      </c>
      <c r="P10" s="105" t="s">
        <v>133</v>
      </c>
      <c r="R10" s="40"/>
    </row>
    <row r="11" spans="1:22" x14ac:dyDescent="0.25">
      <c r="A11" s="71">
        <v>1</v>
      </c>
      <c r="B11" s="71">
        <v>2</v>
      </c>
      <c r="C11" s="76" t="s">
        <v>110</v>
      </c>
      <c r="D11" s="74" t="s">
        <v>89</v>
      </c>
      <c r="E11" s="74" t="s">
        <v>93</v>
      </c>
      <c r="G11" s="21">
        <v>0</v>
      </c>
      <c r="H11" s="22" t="s">
        <v>47</v>
      </c>
      <c r="J11" s="133" t="s">
        <v>38</v>
      </c>
      <c r="K11" s="133"/>
      <c r="L11" s="133"/>
      <c r="M11" s="133"/>
    </row>
    <row r="12" spans="1:22" x14ac:dyDescent="0.25">
      <c r="A12" s="71">
        <v>2</v>
      </c>
      <c r="B12" s="71">
        <v>3</v>
      </c>
      <c r="C12" s="76" t="s">
        <v>111</v>
      </c>
      <c r="D12" s="74" t="s">
        <v>90</v>
      </c>
      <c r="E12" s="74" t="s">
        <v>94</v>
      </c>
      <c r="G12" s="21">
        <v>0.1</v>
      </c>
      <c r="H12" s="22">
        <v>1</v>
      </c>
      <c r="J12" s="133"/>
      <c r="K12" s="133"/>
      <c r="L12" s="133"/>
      <c r="M12" s="133"/>
    </row>
    <row r="13" spans="1:22" x14ac:dyDescent="0.25">
      <c r="A13" s="71">
        <v>3</v>
      </c>
      <c r="B13" s="71">
        <v>1</v>
      </c>
      <c r="C13" s="76" t="s">
        <v>174</v>
      </c>
      <c r="D13" s="74" t="s">
        <v>91</v>
      </c>
      <c r="E13" s="74" t="s">
        <v>95</v>
      </c>
      <c r="G13" s="21">
        <v>0.2</v>
      </c>
      <c r="H13" s="22">
        <v>2</v>
      </c>
      <c r="J13" s="133"/>
      <c r="K13" s="133"/>
      <c r="L13" s="133"/>
      <c r="M13" s="133"/>
    </row>
    <row r="14" spans="1:22" x14ac:dyDescent="0.25">
      <c r="A14" s="71">
        <v>4</v>
      </c>
      <c r="B14" s="71">
        <v>1</v>
      </c>
      <c r="C14" s="76" t="s">
        <v>112</v>
      </c>
      <c r="D14" s="74" t="s">
        <v>92</v>
      </c>
      <c r="E14" s="74" t="s">
        <v>93</v>
      </c>
      <c r="G14" s="21">
        <v>0.3</v>
      </c>
      <c r="H14" s="22">
        <v>3</v>
      </c>
    </row>
    <row r="15" spans="1:22" x14ac:dyDescent="0.25">
      <c r="A15" s="71">
        <v>5</v>
      </c>
      <c r="B15" s="71">
        <v>1</v>
      </c>
      <c r="C15" s="76" t="s">
        <v>113</v>
      </c>
      <c r="D15" s="74" t="s">
        <v>89</v>
      </c>
      <c r="E15" s="74" t="s">
        <v>94</v>
      </c>
      <c r="G15" s="21">
        <v>0.4</v>
      </c>
      <c r="H15" s="22">
        <v>4</v>
      </c>
      <c r="J15" s="19" t="s">
        <v>39</v>
      </c>
      <c r="K15" s="20" t="s">
        <v>40</v>
      </c>
    </row>
    <row r="16" spans="1:22" x14ac:dyDescent="0.25">
      <c r="A16" s="71">
        <v>6</v>
      </c>
      <c r="B16" s="71">
        <v>1</v>
      </c>
      <c r="C16" s="76" t="s">
        <v>114</v>
      </c>
      <c r="D16" s="74" t="s">
        <v>90</v>
      </c>
      <c r="E16" s="74" t="s">
        <v>95</v>
      </c>
      <c r="G16" s="21">
        <v>0.5</v>
      </c>
      <c r="H16" s="22">
        <v>5</v>
      </c>
      <c r="J16" s="21">
        <v>0.85</v>
      </c>
      <c r="K16" s="44"/>
    </row>
    <row r="17" spans="1:11" x14ac:dyDescent="0.25">
      <c r="A17" s="71">
        <v>7</v>
      </c>
      <c r="B17" s="71">
        <v>1</v>
      </c>
      <c r="C17" s="76" t="s">
        <v>173</v>
      </c>
      <c r="D17" s="74" t="s">
        <v>91</v>
      </c>
      <c r="E17" s="74" t="s">
        <v>93</v>
      </c>
      <c r="G17" s="21">
        <v>0.6</v>
      </c>
      <c r="H17" s="22">
        <v>6</v>
      </c>
      <c r="J17" s="21">
        <v>0.7</v>
      </c>
      <c r="K17" s="45"/>
    </row>
    <row r="18" spans="1:11" x14ac:dyDescent="0.25">
      <c r="A18" s="71">
        <v>8</v>
      </c>
      <c r="B18" s="71">
        <v>1</v>
      </c>
      <c r="C18" s="76" t="s">
        <v>115</v>
      </c>
      <c r="D18" s="74" t="s">
        <v>92</v>
      </c>
      <c r="E18" s="74" t="s">
        <v>94</v>
      </c>
      <c r="G18" s="21">
        <v>0.7</v>
      </c>
      <c r="H18" s="22">
        <v>7</v>
      </c>
      <c r="J18" s="21">
        <v>0.5</v>
      </c>
      <c r="K18" s="46"/>
    </row>
    <row r="19" spans="1:11" x14ac:dyDescent="0.25">
      <c r="A19" s="71">
        <v>9</v>
      </c>
      <c r="B19" s="71">
        <v>1</v>
      </c>
      <c r="C19" s="76" t="s">
        <v>116</v>
      </c>
      <c r="D19" s="74" t="s">
        <v>89</v>
      </c>
      <c r="E19" s="74" t="s">
        <v>95</v>
      </c>
      <c r="G19" s="21">
        <v>0.8</v>
      </c>
      <c r="H19" s="22">
        <v>8</v>
      </c>
      <c r="J19" s="21">
        <v>0.35</v>
      </c>
      <c r="K19" s="47"/>
    </row>
    <row r="20" spans="1:11" x14ac:dyDescent="0.25">
      <c r="A20" s="71">
        <v>10</v>
      </c>
      <c r="B20" s="71">
        <v>1</v>
      </c>
      <c r="C20" s="76" t="s">
        <v>175</v>
      </c>
      <c r="D20" s="74" t="s">
        <v>90</v>
      </c>
      <c r="E20" s="74" t="s">
        <v>93</v>
      </c>
      <c r="G20" s="21">
        <v>0.9</v>
      </c>
      <c r="H20" s="22">
        <v>9</v>
      </c>
      <c r="J20" s="48">
        <v>0</v>
      </c>
      <c r="K20" s="49"/>
    </row>
    <row r="21" spans="1:11" x14ac:dyDescent="0.25">
      <c r="D21" s="74"/>
      <c r="G21" s="23"/>
      <c r="H21" s="22"/>
      <c r="I21" s="2"/>
    </row>
    <row r="22" spans="1:11" x14ac:dyDescent="0.25">
      <c r="D22" s="74"/>
      <c r="E22" s="74"/>
      <c r="G22" s="24"/>
      <c r="H22" s="25"/>
    </row>
    <row r="23" spans="1:11" x14ac:dyDescent="0.25">
      <c r="D23" s="74"/>
      <c r="E23" s="74"/>
      <c r="G23" s="24"/>
      <c r="H23" s="25"/>
    </row>
    <row r="24" spans="1:11" x14ac:dyDescent="0.25">
      <c r="D24" s="74"/>
      <c r="E24" s="74"/>
      <c r="G24" s="24"/>
      <c r="H24" s="25"/>
    </row>
    <row r="25" spans="1:11" x14ac:dyDescent="0.25">
      <c r="D25" s="74"/>
      <c r="E25" s="74"/>
      <c r="G25" s="24"/>
      <c r="H25" s="25"/>
    </row>
    <row r="26" spans="1:11" x14ac:dyDescent="0.25">
      <c r="D26" s="74"/>
      <c r="E26" s="74"/>
      <c r="G26" s="24"/>
      <c r="H26" s="25"/>
    </row>
    <row r="27" spans="1:11" x14ac:dyDescent="0.25">
      <c r="D27" s="74"/>
      <c r="E27" s="74"/>
      <c r="G27" s="24"/>
      <c r="H27" s="25"/>
    </row>
    <row r="28" spans="1:11" x14ac:dyDescent="0.25">
      <c r="D28" s="74"/>
      <c r="E28" s="74"/>
      <c r="G28" s="24"/>
      <c r="H28" s="25"/>
    </row>
    <row r="29" spans="1:11" x14ac:dyDescent="0.25">
      <c r="D29" s="74"/>
      <c r="E29" s="74"/>
      <c r="G29" s="24"/>
      <c r="H29" s="25"/>
    </row>
    <row r="30" spans="1:11" x14ac:dyDescent="0.25">
      <c r="D30" s="74"/>
      <c r="E30" s="74"/>
      <c r="G30" s="24"/>
      <c r="H30" s="25"/>
    </row>
    <row r="31" spans="1:11" x14ac:dyDescent="0.25">
      <c r="D31" s="74"/>
      <c r="E31" s="74"/>
      <c r="G31" s="24"/>
      <c r="H31" s="25"/>
    </row>
    <row r="32" spans="1:11" x14ac:dyDescent="0.25">
      <c r="D32" s="74"/>
      <c r="E32" s="74"/>
      <c r="G32" s="24"/>
      <c r="H32" s="25"/>
    </row>
    <row r="33" spans="1:8" x14ac:dyDescent="0.25">
      <c r="D33" s="74"/>
      <c r="E33" s="74"/>
      <c r="G33" s="24"/>
      <c r="H33" s="25"/>
    </row>
    <row r="34" spans="1:8" x14ac:dyDescent="0.25">
      <c r="D34" s="74"/>
      <c r="E34" s="74"/>
      <c r="G34" s="24"/>
      <c r="H34" s="25"/>
    </row>
    <row r="35" spans="1:8" x14ac:dyDescent="0.25">
      <c r="D35" s="74"/>
      <c r="E35" s="74"/>
      <c r="G35" s="24"/>
      <c r="H35" s="25"/>
    </row>
    <row r="36" spans="1:8" x14ac:dyDescent="0.25">
      <c r="D36" s="74"/>
      <c r="E36" s="74"/>
      <c r="G36" s="24"/>
      <c r="H36" s="25"/>
    </row>
    <row r="37" spans="1:8" x14ac:dyDescent="0.25">
      <c r="D37" s="74"/>
      <c r="E37" s="74"/>
      <c r="G37" s="24"/>
      <c r="H37" s="25"/>
    </row>
    <row r="38" spans="1:8" x14ac:dyDescent="0.25">
      <c r="D38" s="74"/>
      <c r="E38" s="74"/>
      <c r="G38" s="26"/>
      <c r="H38" s="27"/>
    </row>
    <row r="39" spans="1:8" x14ac:dyDescent="0.25">
      <c r="D39" s="74"/>
      <c r="E39" s="74"/>
    </row>
    <row r="40" spans="1:8" s="17" customFormat="1" x14ac:dyDescent="0.25">
      <c r="A40" s="71"/>
      <c r="B40" s="78"/>
      <c r="C40" s="103"/>
      <c r="D40" s="74"/>
      <c r="E40" s="74"/>
    </row>
    <row r="41" spans="1:8" s="17" customFormat="1" x14ac:dyDescent="0.25">
      <c r="A41" s="71"/>
      <c r="B41" s="78"/>
      <c r="C41" s="103"/>
      <c r="D41" s="74"/>
      <c r="E41" s="74"/>
    </row>
    <row r="42" spans="1:8" s="17" customFormat="1" x14ac:dyDescent="0.25">
      <c r="A42" s="71"/>
      <c r="B42" s="78"/>
      <c r="C42" s="103"/>
      <c r="D42" s="74"/>
      <c r="E42" s="74"/>
    </row>
    <row r="43" spans="1:8" s="17" customFormat="1" x14ac:dyDescent="0.25">
      <c r="A43" s="71"/>
      <c r="B43" s="78"/>
      <c r="C43" s="103"/>
      <c r="D43" s="74"/>
      <c r="E43" s="74"/>
    </row>
    <row r="44" spans="1:8" s="17" customFormat="1" x14ac:dyDescent="0.25">
      <c r="A44" s="71"/>
      <c r="B44" s="78"/>
      <c r="C44" s="103"/>
      <c r="D44" s="74"/>
      <c r="E44" s="74"/>
    </row>
    <row r="45" spans="1:8" s="17" customFormat="1" x14ac:dyDescent="0.25">
      <c r="A45" s="71"/>
      <c r="B45" s="79"/>
      <c r="C45" s="104"/>
      <c r="D45" s="74"/>
      <c r="E45" s="74"/>
    </row>
    <row r="46" spans="1:8" s="17" customFormat="1" x14ac:dyDescent="0.25">
      <c r="A46" s="71"/>
      <c r="B46" s="79"/>
      <c r="C46" s="104"/>
      <c r="D46" s="74"/>
      <c r="E46" s="74"/>
    </row>
    <row r="47" spans="1:8" s="17" customFormat="1" x14ac:dyDescent="0.25">
      <c r="A47" s="71"/>
      <c r="B47" s="79"/>
      <c r="C47" s="104"/>
      <c r="D47" s="74"/>
      <c r="E47" s="74"/>
    </row>
    <row r="48" spans="1:8" s="17" customFormat="1" x14ac:dyDescent="0.25">
      <c r="A48" s="71"/>
      <c r="B48" s="79"/>
      <c r="C48" s="104"/>
      <c r="D48" s="74"/>
      <c r="E48" s="74"/>
    </row>
    <row r="49" spans="1:5" s="17" customFormat="1" x14ac:dyDescent="0.25">
      <c r="A49" s="71"/>
      <c r="B49" s="79"/>
      <c r="C49" s="104"/>
      <c r="D49" s="74"/>
      <c r="E49" s="74"/>
    </row>
    <row r="50" spans="1:5" s="17" customFormat="1" x14ac:dyDescent="0.25">
      <c r="A50" s="71"/>
      <c r="B50" s="79"/>
      <c r="C50" s="104"/>
      <c r="D50" s="74"/>
      <c r="E50" s="74"/>
    </row>
    <row r="51" spans="1:5" s="17" customFormat="1" x14ac:dyDescent="0.25">
      <c r="A51" s="71"/>
      <c r="B51" s="79"/>
      <c r="C51" s="104"/>
      <c r="D51" s="74"/>
      <c r="E51" s="74"/>
    </row>
    <row r="52" spans="1:5" s="17" customFormat="1" x14ac:dyDescent="0.25">
      <c r="A52" s="71"/>
      <c r="B52" s="79"/>
      <c r="C52" s="104"/>
      <c r="D52" s="74"/>
      <c r="E52" s="74"/>
    </row>
    <row r="53" spans="1:5" s="17" customFormat="1" x14ac:dyDescent="0.25">
      <c r="A53" s="71"/>
      <c r="B53" s="79"/>
      <c r="C53" s="104"/>
      <c r="D53" s="74"/>
      <c r="E53" s="74"/>
    </row>
    <row r="54" spans="1:5" s="17" customFormat="1" x14ac:dyDescent="0.25">
      <c r="A54" s="71"/>
      <c r="B54" s="79"/>
      <c r="C54" s="104"/>
      <c r="D54" s="74"/>
      <c r="E54" s="74"/>
    </row>
    <row r="55" spans="1:5" s="17" customFormat="1" x14ac:dyDescent="0.25">
      <c r="A55" s="71"/>
      <c r="B55" s="79"/>
      <c r="C55" s="104"/>
      <c r="D55" s="74"/>
      <c r="E55" s="74"/>
    </row>
    <row r="56" spans="1:5" s="17" customFormat="1" x14ac:dyDescent="0.25">
      <c r="A56" s="71"/>
      <c r="B56" s="78"/>
      <c r="C56" s="103"/>
      <c r="D56" s="74"/>
      <c r="E56" s="74"/>
    </row>
    <row r="57" spans="1:5" s="17" customFormat="1" x14ac:dyDescent="0.25">
      <c r="A57" s="71"/>
      <c r="B57" s="78"/>
      <c r="C57" s="103"/>
      <c r="D57" s="74"/>
      <c r="E57" s="74"/>
    </row>
    <row r="58" spans="1:5" s="17" customFormat="1" x14ac:dyDescent="0.25">
      <c r="A58" s="71"/>
      <c r="B58" s="78"/>
      <c r="C58" s="103"/>
      <c r="D58" s="74"/>
      <c r="E58" s="74"/>
    </row>
    <row r="59" spans="1:5" s="17" customFormat="1" x14ac:dyDescent="0.25">
      <c r="A59" s="71"/>
      <c r="B59" s="78"/>
      <c r="C59" s="103"/>
      <c r="D59" s="74"/>
      <c r="E59" s="74"/>
    </row>
    <row r="60" spans="1:5" x14ac:dyDescent="0.25">
      <c r="B60" s="78"/>
      <c r="C60" s="103"/>
      <c r="D60" s="74"/>
      <c r="E60" s="74"/>
    </row>
    <row r="61" spans="1:5" x14ac:dyDescent="0.25">
      <c r="B61" s="78"/>
      <c r="C61" s="103"/>
      <c r="D61" s="74"/>
      <c r="E61" s="74"/>
    </row>
    <row r="62" spans="1:5" x14ac:dyDescent="0.25">
      <c r="B62" s="78"/>
      <c r="C62" s="103"/>
      <c r="D62" s="74"/>
      <c r="E62" s="74"/>
    </row>
    <row r="63" spans="1:5" x14ac:dyDescent="0.25">
      <c r="B63" s="78"/>
      <c r="C63" s="103"/>
      <c r="D63" s="74"/>
      <c r="E63" s="74"/>
    </row>
    <row r="64" spans="1:5" x14ac:dyDescent="0.25">
      <c r="B64" s="78"/>
      <c r="C64" s="103"/>
      <c r="D64" s="74"/>
      <c r="E64" s="74"/>
    </row>
    <row r="65" spans="2:5" x14ac:dyDescent="0.25">
      <c r="B65" s="78"/>
      <c r="C65" s="103"/>
      <c r="D65" s="74"/>
      <c r="E65" s="74"/>
    </row>
    <row r="66" spans="2:5" x14ac:dyDescent="0.25">
      <c r="B66" s="78"/>
      <c r="C66" s="103"/>
      <c r="D66" s="74"/>
      <c r="E66" s="74"/>
    </row>
    <row r="67" spans="2:5" x14ac:dyDescent="0.25">
      <c r="B67" s="78"/>
      <c r="C67" s="103"/>
      <c r="D67" s="74"/>
      <c r="E67" s="74"/>
    </row>
    <row r="68" spans="2:5" x14ac:dyDescent="0.25">
      <c r="B68" s="78"/>
      <c r="C68" s="103"/>
      <c r="D68" s="74"/>
      <c r="E68" s="74"/>
    </row>
    <row r="69" spans="2:5" x14ac:dyDescent="0.25">
      <c r="B69" s="78"/>
      <c r="C69" s="103"/>
      <c r="D69" s="74"/>
      <c r="E69" s="74"/>
    </row>
    <row r="70" spans="2:5" x14ac:dyDescent="0.25">
      <c r="B70" s="78"/>
      <c r="C70" s="103"/>
      <c r="D70" s="74"/>
      <c r="E70" s="74"/>
    </row>
  </sheetData>
  <mergeCells count="8">
    <mergeCell ref="P6:V7"/>
    <mergeCell ref="A2:D2"/>
    <mergeCell ref="J11:M13"/>
    <mergeCell ref="A9:A10"/>
    <mergeCell ref="B9:B10"/>
    <mergeCell ref="A6:E7"/>
    <mergeCell ref="G6:M7"/>
    <mergeCell ref="C9:C10"/>
  </mergeCells>
  <hyperlinks>
    <hyperlink ref="P10" r:id="rId1" xr:uid="{9D6C650B-0AB9-454E-A817-ED89ED529BC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00" r:id="rId5" name="Check Box 4">
              <controlPr defaultSize="0" autoFill="0" autoLine="0" autoPict="0">
                <anchor moveWithCells="1">
                  <from>
                    <xdr:col>15</xdr:col>
                    <xdr:colOff>0</xdr:colOff>
                    <xdr:row>7</xdr:row>
                    <xdr:rowOff>180975</xdr:rowOff>
                  </from>
                  <to>
                    <xdr:col>24</xdr:col>
                    <xdr:colOff>0</xdr:colOff>
                    <xdr:row>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C15A4-C7C6-41FF-AF59-55BE9D073B32}">
  <sheetPr codeName="Sheet2"/>
  <dimension ref="A1:N24"/>
  <sheetViews>
    <sheetView workbookViewId="0">
      <selection activeCell="B13" sqref="B13"/>
    </sheetView>
  </sheetViews>
  <sheetFormatPr defaultColWidth="8.85546875" defaultRowHeight="15" x14ac:dyDescent="0.25"/>
  <cols>
    <col min="1" max="1" width="34.28515625" customWidth="1"/>
    <col min="2" max="2" width="11.7109375" customWidth="1"/>
    <col min="4" max="4" width="27" customWidth="1"/>
    <col min="8" max="8" width="8.7109375" customWidth="1"/>
    <col min="14" max="14" width="8.28515625" customWidth="1"/>
  </cols>
  <sheetData>
    <row r="1" spans="1:14" ht="15.75" thickBot="1" x14ac:dyDescent="0.3">
      <c r="A1" s="1" t="s">
        <v>50</v>
      </c>
    </row>
    <row r="2" spans="1:14" x14ac:dyDescent="0.25">
      <c r="A2" t="s">
        <v>134</v>
      </c>
      <c r="I2" s="53" t="s">
        <v>53</v>
      </c>
      <c r="J2" s="54"/>
      <c r="K2" s="54"/>
      <c r="L2" s="54"/>
      <c r="M2" s="54"/>
      <c r="N2" s="55"/>
    </row>
    <row r="3" spans="1:14" x14ac:dyDescent="0.25">
      <c r="I3" s="56"/>
      <c r="J3" s="57"/>
      <c r="K3" s="57"/>
      <c r="L3" s="57"/>
      <c r="M3" s="57"/>
      <c r="N3" s="58"/>
    </row>
    <row r="4" spans="1:14" x14ac:dyDescent="0.25">
      <c r="A4" t="s">
        <v>51</v>
      </c>
      <c r="B4" s="52" t="s">
        <v>181</v>
      </c>
      <c r="I4" s="56"/>
      <c r="J4" s="57"/>
      <c r="K4" s="57"/>
      <c r="L4" s="57"/>
      <c r="M4" s="57"/>
      <c r="N4" s="58"/>
    </row>
    <row r="5" spans="1:14" x14ac:dyDescent="0.25">
      <c r="A5" t="s">
        <v>52</v>
      </c>
      <c r="B5" t="s">
        <v>88</v>
      </c>
      <c r="I5" s="56"/>
      <c r="J5" s="57"/>
      <c r="K5" s="57"/>
      <c r="L5" s="57"/>
      <c r="M5" s="57"/>
      <c r="N5" s="58"/>
    </row>
    <row r="6" spans="1:14" x14ac:dyDescent="0.25">
      <c r="A6" t="s">
        <v>148</v>
      </c>
      <c r="B6" t="s">
        <v>149</v>
      </c>
      <c r="I6" s="56"/>
      <c r="J6" s="57"/>
      <c r="K6" s="57"/>
      <c r="L6" s="57"/>
      <c r="M6" s="57"/>
      <c r="N6" s="58"/>
    </row>
    <row r="7" spans="1:14" x14ac:dyDescent="0.25">
      <c r="I7" s="56"/>
      <c r="J7" s="57"/>
      <c r="K7" s="57"/>
      <c r="L7" s="57"/>
      <c r="M7" s="57"/>
      <c r="N7" s="58"/>
    </row>
    <row r="8" spans="1:14" x14ac:dyDescent="0.25">
      <c r="I8" s="56"/>
      <c r="J8" s="57"/>
      <c r="K8" s="57"/>
      <c r="L8" s="57"/>
      <c r="M8" s="57"/>
      <c r="N8" s="58"/>
    </row>
    <row r="9" spans="1:14" x14ac:dyDescent="0.25">
      <c r="A9" s="1" t="s">
        <v>103</v>
      </c>
      <c r="I9" s="56"/>
      <c r="J9" s="57"/>
      <c r="K9" s="57"/>
      <c r="L9" s="57"/>
      <c r="M9" s="57"/>
      <c r="N9" s="58"/>
    </row>
    <row r="10" spans="1:14" x14ac:dyDescent="0.25">
      <c r="I10" s="56"/>
      <c r="J10" s="57"/>
      <c r="K10" s="57"/>
      <c r="L10" s="57"/>
      <c r="M10" s="57"/>
      <c r="N10" s="58"/>
    </row>
    <row r="11" spans="1:14" ht="15.75" thickBot="1" x14ac:dyDescent="0.3">
      <c r="A11" s="102" t="s">
        <v>104</v>
      </c>
      <c r="B11" s="102" t="s">
        <v>105</v>
      </c>
      <c r="C11" s="102" t="s">
        <v>106</v>
      </c>
      <c r="D11" s="102" t="s">
        <v>117</v>
      </c>
      <c r="I11" s="59"/>
      <c r="J11" s="60"/>
      <c r="K11" s="60"/>
      <c r="L11" s="60"/>
      <c r="M11" s="60"/>
      <c r="N11" s="61"/>
    </row>
    <row r="12" spans="1:14" x14ac:dyDescent="0.25">
      <c r="A12" t="s">
        <v>123</v>
      </c>
      <c r="B12" t="b">
        <v>0</v>
      </c>
      <c r="C12" t="s">
        <v>107</v>
      </c>
    </row>
    <row r="13" spans="1:14" x14ac:dyDescent="0.25">
      <c r="A13" t="s">
        <v>124</v>
      </c>
      <c r="B13" t="b">
        <v>0</v>
      </c>
      <c r="C13" t="s">
        <v>107</v>
      </c>
    </row>
    <row r="14" spans="1:14" x14ac:dyDescent="0.25">
      <c r="A14" t="s">
        <v>130</v>
      </c>
      <c r="B14" t="b">
        <v>0</v>
      </c>
      <c r="C14" t="s">
        <v>107</v>
      </c>
    </row>
    <row r="15" spans="1:14" x14ac:dyDescent="0.25">
      <c r="A15" t="s">
        <v>125</v>
      </c>
      <c r="B15" t="b">
        <f>COUNTA(Setup!E:E)=2</f>
        <v>0</v>
      </c>
      <c r="C15" t="s">
        <v>107</v>
      </c>
      <c r="D15" t="s">
        <v>118</v>
      </c>
    </row>
    <row r="16" spans="1:14" x14ac:dyDescent="0.25">
      <c r="A16" t="s">
        <v>161</v>
      </c>
      <c r="B16" t="b">
        <v>1</v>
      </c>
      <c r="C16" t="s">
        <v>162</v>
      </c>
    </row>
    <row r="17" spans="1:3" x14ac:dyDescent="0.25">
      <c r="A17" t="s">
        <v>163</v>
      </c>
      <c r="B17" t="b">
        <v>0</v>
      </c>
      <c r="C17" t="s">
        <v>167</v>
      </c>
    </row>
    <row r="18" spans="1:3" x14ac:dyDescent="0.25">
      <c r="A18" s="122" t="s">
        <v>164</v>
      </c>
      <c r="B18" s="122" t="b">
        <v>0</v>
      </c>
      <c r="C18" t="s">
        <v>167</v>
      </c>
    </row>
    <row r="19" spans="1:3" x14ac:dyDescent="0.25">
      <c r="A19" s="122" t="s">
        <v>170</v>
      </c>
      <c r="B19" s="122" t="b">
        <v>0</v>
      </c>
      <c r="C19" t="s">
        <v>167</v>
      </c>
    </row>
    <row r="20" spans="1:3" x14ac:dyDescent="0.25">
      <c r="A20" s="122" t="s">
        <v>171</v>
      </c>
      <c r="B20" s="122" t="b">
        <v>0</v>
      </c>
      <c r="C20" t="s">
        <v>167</v>
      </c>
    </row>
    <row r="21" spans="1:3" x14ac:dyDescent="0.25">
      <c r="A21" s="122" t="s">
        <v>165</v>
      </c>
      <c r="B21" s="122" t="b">
        <v>0</v>
      </c>
      <c r="C21" s="122" t="s">
        <v>168</v>
      </c>
    </row>
    <row r="22" spans="1:3" x14ac:dyDescent="0.25">
      <c r="A22" s="122" t="s">
        <v>166</v>
      </c>
      <c r="B22" s="122" t="b">
        <v>0</v>
      </c>
      <c r="C22" s="122" t="s">
        <v>168</v>
      </c>
    </row>
    <row r="23" spans="1:3" x14ac:dyDescent="0.25">
      <c r="A23" s="122" t="s">
        <v>169</v>
      </c>
      <c r="B23" s="122" t="b">
        <v>0</v>
      </c>
      <c r="C23" s="122" t="s">
        <v>168</v>
      </c>
    </row>
    <row r="24" spans="1:3" x14ac:dyDescent="0.25">
      <c r="A24" s="122" t="s">
        <v>172</v>
      </c>
      <c r="B24" s="122" t="b">
        <v>0</v>
      </c>
      <c r="C24" s="122" t="s">
        <v>168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moveExistingPupilInsightSheet">
                <anchor moveWithCells="1" sizeWithCells="1">
                  <from>
                    <xdr:col>8</xdr:col>
                    <xdr:colOff>114300</xdr:colOff>
                    <xdr:row>5</xdr:row>
                    <xdr:rowOff>38100</xdr:rowOff>
                  </from>
                  <to>
                    <xdr:col>10</xdr:col>
                    <xdr:colOff>571500</xdr:colOff>
                    <xdr:row>7</xdr:row>
                    <xdr:rowOff>57150</xdr:rowOff>
                  </to>
                </anchor>
              </controlPr>
            </control>
          </mc:Choice>
        </mc:AlternateContent>
        <mc:AlternateContent xmlns:mc="http://schemas.openxmlformats.org/markup-compatibility/2006">
          <mc:Choice Requires="x14">
            <control shapeId="14338" r:id="rId5" name="Button 2">
              <controlPr defaultSize="0" print="0" autoFill="0" autoPict="0" macro="[0]!RemoveExistingDataEntrySheet">
                <anchor moveWithCells="1" sizeWithCells="1">
                  <from>
                    <xdr:col>8</xdr:col>
                    <xdr:colOff>95250</xdr:colOff>
                    <xdr:row>2</xdr:row>
                    <xdr:rowOff>66675</xdr:rowOff>
                  </from>
                  <to>
                    <xdr:col>10</xdr:col>
                    <xdr:colOff>561975</xdr:colOff>
                    <xdr:row>4</xdr:row>
                    <xdr:rowOff>76200</xdr:rowOff>
                  </to>
                </anchor>
              </controlPr>
            </control>
          </mc:Choice>
        </mc:AlternateContent>
        <mc:AlternateContent xmlns:mc="http://schemas.openxmlformats.org/markup-compatibility/2006">
          <mc:Choice Requires="x14">
            <control shapeId="14343" r:id="rId6" name="Button 7">
              <controlPr defaultSize="0" print="0" autoFill="0" autoPict="0" macro="[0]!CIS_Remove_Existing_Sheets">
                <anchor moveWithCells="1" sizeWithCells="1">
                  <from>
                    <xdr:col>8</xdr:col>
                    <xdr:colOff>114300</xdr:colOff>
                    <xdr:row>7</xdr:row>
                    <xdr:rowOff>180975</xdr:rowOff>
                  </from>
                  <to>
                    <xdr:col>10</xdr:col>
                    <xdr:colOff>571500</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90AB5-249C-43EF-BB06-CEB703AF4253}">
  <sheetPr codeName="Sheet14"/>
  <dimension ref="A1:R44"/>
  <sheetViews>
    <sheetView workbookViewId="0"/>
  </sheetViews>
  <sheetFormatPr defaultColWidth="9.140625" defaultRowHeight="15" x14ac:dyDescent="0.25"/>
  <cols>
    <col min="1" max="1" width="14.85546875" style="2" customWidth="1"/>
    <col min="2" max="2" width="11.28515625" style="2" customWidth="1"/>
    <col min="3" max="3" width="17.28515625" style="2" customWidth="1"/>
    <col min="4" max="4" width="19.7109375" style="2" customWidth="1"/>
    <col min="5" max="16384" width="9.140625" style="2"/>
  </cols>
  <sheetData>
    <row r="1" spans="1:18" ht="15.75" x14ac:dyDescent="0.25">
      <c r="A1" s="108" t="s">
        <v>146</v>
      </c>
    </row>
    <row r="2" spans="1:18" x14ac:dyDescent="0.25">
      <c r="A2" s="109" t="s">
        <v>147</v>
      </c>
    </row>
    <row r="3" spans="1:18" x14ac:dyDescent="0.25">
      <c r="A3" s="109"/>
    </row>
    <row r="4" spans="1:18" x14ac:dyDescent="0.25">
      <c r="A4" s="109" t="s">
        <v>159</v>
      </c>
    </row>
    <row r="5" spans="1:18" x14ac:dyDescent="0.25">
      <c r="A5" s="139" t="s">
        <v>156</v>
      </c>
      <c r="B5" t="s">
        <v>154</v>
      </c>
      <c r="C5"/>
      <c r="D5"/>
      <c r="E5"/>
      <c r="F5"/>
      <c r="G5"/>
      <c r="H5"/>
      <c r="I5"/>
      <c r="J5" t="s">
        <v>152</v>
      </c>
      <c r="K5"/>
      <c r="L5"/>
      <c r="M5"/>
    </row>
    <row r="6" spans="1:18" ht="15" customHeight="1" x14ac:dyDescent="0.25">
      <c r="A6" s="139"/>
      <c r="B6" s="139" t="s">
        <v>126</v>
      </c>
      <c r="C6" s="139"/>
      <c r="D6" s="139" t="s">
        <v>127</v>
      </c>
      <c r="E6" s="139"/>
      <c r="F6" s="139" t="s">
        <v>137</v>
      </c>
      <c r="G6" s="139"/>
      <c r="H6" s="139" t="s">
        <v>153</v>
      </c>
      <c r="I6" s="139"/>
      <c r="J6" s="139"/>
      <c r="K6" s="139"/>
      <c r="L6" s="139"/>
      <c r="M6" s="139"/>
    </row>
    <row r="7" spans="1:18" ht="15" customHeight="1" x14ac:dyDescent="0.25">
      <c r="A7" s="139"/>
      <c r="B7" t="s">
        <v>1</v>
      </c>
      <c r="C7" t="s">
        <v>158</v>
      </c>
      <c r="D7" t="s">
        <v>1</v>
      </c>
      <c r="E7" t="s">
        <v>158</v>
      </c>
      <c r="F7" t="s">
        <v>1</v>
      </c>
      <c r="G7" t="s">
        <v>158</v>
      </c>
      <c r="H7" t="s">
        <v>1</v>
      </c>
      <c r="I7" t="s">
        <v>158</v>
      </c>
      <c r="J7"/>
      <c r="K7"/>
      <c r="L7"/>
      <c r="M7"/>
    </row>
    <row r="8" spans="1:18" ht="15" customHeight="1" x14ac:dyDescent="0.25">
      <c r="A8"/>
      <c r="B8"/>
      <c r="C8"/>
      <c r="D8"/>
      <c r="E8"/>
      <c r="F8"/>
      <c r="G8"/>
      <c r="H8"/>
      <c r="I8"/>
      <c r="J8"/>
      <c r="K8"/>
      <c r="L8"/>
      <c r="M8"/>
    </row>
    <row r="9" spans="1:18" x14ac:dyDescent="0.25">
      <c r="A9" s="109"/>
    </row>
    <row r="10" spans="1:18" x14ac:dyDescent="0.25">
      <c r="A10" s="109" t="s">
        <v>160</v>
      </c>
    </row>
    <row r="11" spans="1:18" x14ac:dyDescent="0.25">
      <c r="A11" s="138" t="s">
        <v>140</v>
      </c>
      <c r="B11" s="138" t="s">
        <v>141</v>
      </c>
      <c r="C11" s="138" t="s">
        <v>143</v>
      </c>
      <c r="D11" s="138"/>
      <c r="E11" s="107" t="s">
        <v>142</v>
      </c>
    </row>
    <row r="12" spans="1:18" ht="15" customHeight="1" x14ac:dyDescent="0.25">
      <c r="A12" s="138"/>
      <c r="B12" s="138"/>
      <c r="C12" s="138"/>
      <c r="D12" s="138"/>
      <c r="E12" s="127" t="s">
        <v>157</v>
      </c>
      <c r="F12" s="127"/>
      <c r="G12" s="127"/>
      <c r="H12" s="127"/>
      <c r="I12" s="127"/>
      <c r="J12" s="127"/>
      <c r="K12" s="127"/>
      <c r="L12" s="127"/>
      <c r="M12" s="127"/>
      <c r="N12" s="127"/>
      <c r="O12" s="107" t="s">
        <v>139</v>
      </c>
    </row>
    <row r="13" spans="1:18" x14ac:dyDescent="0.25">
      <c r="A13" s="138"/>
      <c r="B13" s="138"/>
      <c r="C13" s="2" t="s">
        <v>144</v>
      </c>
      <c r="D13" s="2" t="s">
        <v>145</v>
      </c>
      <c r="E13" s="2" t="s">
        <v>136</v>
      </c>
      <c r="F13" s="2" t="s">
        <v>1</v>
      </c>
      <c r="G13" s="2" t="s">
        <v>126</v>
      </c>
      <c r="H13" s="2" t="s">
        <v>1</v>
      </c>
      <c r="I13" s="2" t="s">
        <v>127</v>
      </c>
      <c r="J13" s="2" t="s">
        <v>1</v>
      </c>
      <c r="K13" s="2" t="s">
        <v>137</v>
      </c>
      <c r="L13" s="2" t="s">
        <v>1</v>
      </c>
      <c r="M13" s="2" t="s">
        <v>138</v>
      </c>
      <c r="N13" s="2" t="s">
        <v>1</v>
      </c>
      <c r="O13" s="65"/>
      <c r="P13" s="65"/>
    </row>
    <row r="14" spans="1:18" x14ac:dyDescent="0.25">
      <c r="F14" s="7"/>
      <c r="H14" s="7"/>
      <c r="J14" s="7"/>
      <c r="L14" s="7"/>
      <c r="N14" s="7"/>
      <c r="P14" s="7"/>
      <c r="R14" s="7"/>
    </row>
    <row r="15" spans="1:18" x14ac:dyDescent="0.25">
      <c r="F15" s="7"/>
      <c r="H15" s="7"/>
      <c r="J15" s="7"/>
      <c r="L15" s="7"/>
      <c r="N15" s="7"/>
      <c r="P15" s="7"/>
      <c r="R15" s="7"/>
    </row>
    <row r="16" spans="1:18" x14ac:dyDescent="0.25">
      <c r="F16" s="7"/>
      <c r="H16" s="7"/>
      <c r="J16" s="7"/>
      <c r="L16" s="7"/>
      <c r="N16" s="7"/>
      <c r="P16" s="7"/>
      <c r="R16" s="7"/>
    </row>
    <row r="17" spans="1:18" x14ac:dyDescent="0.25">
      <c r="F17" s="7"/>
      <c r="H17" s="7"/>
      <c r="J17" s="7"/>
      <c r="L17" s="7"/>
      <c r="N17" s="7"/>
      <c r="P17" s="7"/>
      <c r="R17" s="7"/>
    </row>
    <row r="18" spans="1:18" x14ac:dyDescent="0.25">
      <c r="F18" s="7"/>
      <c r="H18" s="7"/>
      <c r="J18" s="7"/>
      <c r="L18" s="7"/>
      <c r="N18" s="7"/>
      <c r="P18" s="7"/>
      <c r="R18" s="7"/>
    </row>
    <row r="19" spans="1:18" x14ac:dyDescent="0.25">
      <c r="F19" s="7"/>
      <c r="H19" s="7"/>
      <c r="J19" s="7"/>
      <c r="L19" s="7"/>
      <c r="N19" s="7"/>
      <c r="P19" s="7"/>
      <c r="R19" s="7"/>
    </row>
    <row r="20" spans="1:18" x14ac:dyDescent="0.25">
      <c r="F20" s="7"/>
      <c r="H20" s="7"/>
      <c r="J20" s="7"/>
      <c r="L20" s="7"/>
      <c r="N20" s="7"/>
      <c r="P20" s="7"/>
      <c r="R20" s="7"/>
    </row>
    <row r="21" spans="1:18" x14ac:dyDescent="0.25">
      <c r="F21" s="7"/>
      <c r="H21" s="7"/>
      <c r="J21" s="7"/>
      <c r="L21" s="7"/>
      <c r="N21" s="7"/>
      <c r="P21" s="7"/>
      <c r="R21" s="7"/>
    </row>
    <row r="22" spans="1:18" x14ac:dyDescent="0.25">
      <c r="F22" s="7"/>
      <c r="H22" s="7"/>
      <c r="J22" s="7"/>
      <c r="L22" s="7"/>
      <c r="N22" s="7"/>
      <c r="P22" s="7"/>
      <c r="R22" s="7"/>
    </row>
    <row r="23" spans="1:18" x14ac:dyDescent="0.25">
      <c r="F23" s="7"/>
      <c r="H23" s="7"/>
      <c r="J23" s="7"/>
      <c r="L23" s="7"/>
      <c r="N23" s="7"/>
      <c r="P23" s="7"/>
      <c r="R23" s="7"/>
    </row>
    <row r="24" spans="1:18" x14ac:dyDescent="0.25">
      <c r="F24" s="7"/>
      <c r="H24" s="7"/>
      <c r="J24" s="7"/>
      <c r="L24" s="7"/>
      <c r="N24" s="7"/>
      <c r="P24" s="7"/>
      <c r="R24" s="7"/>
    </row>
    <row r="27" spans="1:18" x14ac:dyDescent="0.25">
      <c r="A27" s="110"/>
    </row>
    <row r="29" spans="1:18" x14ac:dyDescent="0.25">
      <c r="A29" s="107"/>
    </row>
    <row r="30" spans="1:18" x14ac:dyDescent="0.25">
      <c r="B30" s="107"/>
    </row>
    <row r="31" spans="1:18" x14ac:dyDescent="0.25">
      <c r="B31" s="106"/>
      <c r="C31" s="106"/>
      <c r="D31" s="106"/>
      <c r="E31" s="106"/>
      <c r="F31" s="106"/>
      <c r="G31" s="106"/>
      <c r="H31" s="106"/>
      <c r="I31" s="106"/>
      <c r="J31" s="106"/>
      <c r="K31" s="106"/>
      <c r="L31" s="107"/>
    </row>
    <row r="32" spans="1:18" x14ac:dyDescent="0.25">
      <c r="L32" s="65"/>
      <c r="M32" s="65"/>
    </row>
    <row r="33" spans="1:15" x14ac:dyDescent="0.25">
      <c r="C33" s="7"/>
      <c r="E33" s="7"/>
      <c r="G33" s="7"/>
      <c r="I33" s="7"/>
      <c r="K33" s="7"/>
      <c r="M33" s="7"/>
      <c r="O33" s="7"/>
    </row>
    <row r="34" spans="1:15" x14ac:dyDescent="0.25">
      <c r="C34" s="7"/>
      <c r="E34" s="7"/>
      <c r="G34" s="7"/>
      <c r="I34" s="7"/>
      <c r="K34" s="7"/>
      <c r="M34" s="7"/>
      <c r="O34" s="7"/>
    </row>
    <row r="35" spans="1:15" x14ac:dyDescent="0.25">
      <c r="C35" s="7"/>
      <c r="E35" s="7"/>
      <c r="G35" s="7"/>
      <c r="I35" s="7"/>
      <c r="K35" s="7"/>
      <c r="M35" s="7"/>
      <c r="O35" s="7"/>
    </row>
    <row r="36" spans="1:15" x14ac:dyDescent="0.25">
      <c r="C36" s="7"/>
      <c r="E36" s="7"/>
      <c r="G36" s="7"/>
      <c r="I36" s="7"/>
      <c r="K36" s="7"/>
      <c r="M36" s="7"/>
      <c r="O36" s="7"/>
    </row>
    <row r="38" spans="1:15" x14ac:dyDescent="0.25">
      <c r="A38" s="107"/>
    </row>
    <row r="39" spans="1:15" x14ac:dyDescent="0.25">
      <c r="B39" s="107"/>
    </row>
    <row r="40" spans="1:15" x14ac:dyDescent="0.25">
      <c r="B40" s="106"/>
      <c r="C40" s="106"/>
      <c r="D40" s="106"/>
      <c r="E40" s="106"/>
      <c r="F40" s="106"/>
      <c r="G40" s="106"/>
      <c r="H40" s="106"/>
      <c r="I40" s="106"/>
      <c r="J40" s="106"/>
      <c r="K40" s="106"/>
      <c r="L40" s="107"/>
    </row>
    <row r="41" spans="1:15" x14ac:dyDescent="0.25">
      <c r="L41" s="65"/>
      <c r="M41" s="65"/>
    </row>
    <row r="42" spans="1:15" x14ac:dyDescent="0.25">
      <c r="C42" s="7"/>
      <c r="E42" s="7"/>
      <c r="G42" s="7"/>
      <c r="I42" s="7"/>
      <c r="K42" s="7"/>
      <c r="M42" s="7"/>
      <c r="O42" s="7"/>
    </row>
    <row r="43" spans="1:15" x14ac:dyDescent="0.25">
      <c r="C43" s="7"/>
      <c r="E43" s="7"/>
      <c r="G43" s="7"/>
      <c r="I43" s="7"/>
      <c r="K43" s="7"/>
      <c r="M43" s="7"/>
      <c r="O43" s="7"/>
    </row>
    <row r="44" spans="1:15" x14ac:dyDescent="0.25">
      <c r="C44" s="7"/>
      <c r="E44" s="7"/>
      <c r="G44" s="7"/>
      <c r="I44" s="7"/>
      <c r="K44" s="7"/>
      <c r="M44" s="7"/>
      <c r="O44" s="7"/>
    </row>
  </sheetData>
  <mergeCells count="11">
    <mergeCell ref="A11:A13"/>
    <mergeCell ref="B11:B13"/>
    <mergeCell ref="C11:D12"/>
    <mergeCell ref="E12:N12"/>
    <mergeCell ref="J6:K6"/>
    <mergeCell ref="L6:M6"/>
    <mergeCell ref="A5:A7"/>
    <mergeCell ref="B6:C6"/>
    <mergeCell ref="D6:E6"/>
    <mergeCell ref="F6:G6"/>
    <mergeCell ref="H6:I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3477-ADC1-495E-A5D1-00198764FC38}">
  <sheetPr codeName="Sheet16"/>
  <dimension ref="A1:O31"/>
  <sheetViews>
    <sheetView workbookViewId="0">
      <selection activeCell="A7" sqref="A7"/>
    </sheetView>
  </sheetViews>
  <sheetFormatPr defaultColWidth="9" defaultRowHeight="15" x14ac:dyDescent="0.25"/>
  <cols>
    <col min="1" max="1" width="15" style="18" customWidth="1"/>
    <col min="2" max="2" width="9.140625" style="7" customWidth="1"/>
    <col min="3" max="16384" width="9" style="7"/>
  </cols>
  <sheetData>
    <row r="1" spans="1:15" ht="28.5" x14ac:dyDescent="0.25">
      <c r="B1" s="116" t="str">
        <f>AEAS_AssessmentTitle</f>
        <v>Replace with your subject and relevant key stage (e.g. French GCSE)</v>
      </c>
    </row>
    <row r="2" spans="1:15" x14ac:dyDescent="0.25">
      <c r="B2" s="115" t="s">
        <v>135</v>
      </c>
    </row>
    <row r="7" spans="1:15" x14ac:dyDescent="0.25">
      <c r="A7" s="111" t="s">
        <v>10</v>
      </c>
      <c r="B7" s="113"/>
      <c r="C7" s="113"/>
      <c r="D7" s="113"/>
      <c r="E7" s="113"/>
      <c r="F7" s="113"/>
      <c r="G7" s="113"/>
      <c r="H7" s="113"/>
      <c r="I7" s="113"/>
      <c r="J7" s="113"/>
      <c r="K7" s="113"/>
      <c r="L7" s="113"/>
      <c r="M7" s="113"/>
      <c r="N7" s="113"/>
      <c r="O7" s="113"/>
    </row>
    <row r="8" spans="1:15" ht="18.75" x14ac:dyDescent="0.3">
      <c r="A8" s="112" t="s">
        <v>155</v>
      </c>
      <c r="B8" s="114"/>
      <c r="C8" s="114"/>
      <c r="D8" s="114"/>
      <c r="E8" s="114"/>
      <c r="F8" s="114"/>
      <c r="G8" s="114"/>
      <c r="H8" s="114"/>
      <c r="I8" s="114"/>
      <c r="J8" s="114"/>
      <c r="K8" s="114"/>
      <c r="L8" s="114"/>
      <c r="M8" s="114"/>
      <c r="N8" s="114"/>
      <c r="O8" s="114"/>
    </row>
    <row r="25" spans="1:13" s="119" customFormat="1" x14ac:dyDescent="0.25">
      <c r="A25" s="118"/>
    </row>
    <row r="26" spans="1:13" s="119" customFormat="1" x14ac:dyDescent="0.25">
      <c r="A26" s="117"/>
      <c r="B26" s="120"/>
      <c r="C26" s="120"/>
      <c r="D26" s="120"/>
      <c r="E26" s="120"/>
      <c r="F26" s="120"/>
      <c r="G26" s="120"/>
      <c r="H26" s="120"/>
      <c r="I26" s="120"/>
      <c r="J26" s="120"/>
      <c r="K26" s="120"/>
      <c r="L26" s="120"/>
      <c r="M26" s="120"/>
    </row>
    <row r="27" spans="1:13" s="119" customFormat="1" ht="19.5" customHeight="1" x14ac:dyDescent="0.25">
      <c r="A27" s="117"/>
      <c r="B27" s="117"/>
      <c r="C27" s="117"/>
      <c r="D27" s="117"/>
      <c r="E27" s="117"/>
      <c r="F27" s="117"/>
      <c r="G27" s="117"/>
      <c r="H27" s="117"/>
      <c r="I27" s="117"/>
      <c r="J27" s="117"/>
      <c r="K27" s="117"/>
      <c r="L27" s="117"/>
      <c r="M27" s="117"/>
    </row>
    <row r="28" spans="1:13" s="119" customFormat="1" x14ac:dyDescent="0.25">
      <c r="A28" s="117"/>
      <c r="B28" s="121"/>
      <c r="C28" s="121"/>
      <c r="D28" s="121"/>
      <c r="E28" s="121"/>
      <c r="F28" s="121"/>
      <c r="G28" s="121"/>
      <c r="H28" s="121"/>
      <c r="I28" s="121"/>
      <c r="J28" s="121"/>
      <c r="K28" s="121"/>
      <c r="L28" s="121"/>
      <c r="M28" s="121"/>
    </row>
    <row r="29" spans="1:13" s="119" customFormat="1" x14ac:dyDescent="0.25"/>
    <row r="30" spans="1:13" s="119" customFormat="1" x14ac:dyDescent="0.25">
      <c r="A30" s="118"/>
    </row>
    <row r="31" spans="1:13" s="119" customFormat="1" x14ac:dyDescent="0.25">
      <c r="A31" s="118"/>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8475D-E91C-437C-9229-E6E5DDC6AE8D}">
  <sheetPr codeName="Sheet7"/>
  <dimension ref="A2:AF15"/>
  <sheetViews>
    <sheetView workbookViewId="0"/>
  </sheetViews>
  <sheetFormatPr defaultColWidth="8.85546875" defaultRowHeight="15" x14ac:dyDescent="0.25"/>
  <cols>
    <col min="1" max="1" width="20.85546875" style="2" customWidth="1"/>
    <col min="2" max="2" width="9.28515625" style="2" customWidth="1"/>
    <col min="3" max="3" width="9.7109375" style="2" customWidth="1"/>
    <col min="4" max="16384" width="8.85546875" style="2"/>
  </cols>
  <sheetData>
    <row r="2" spans="1:32" s="41" customFormat="1" x14ac:dyDescent="0.25">
      <c r="A2" s="142" t="s">
        <v>13</v>
      </c>
      <c r="B2" s="140" t="s">
        <v>128</v>
      </c>
      <c r="C2" s="140" t="s">
        <v>129</v>
      </c>
      <c r="D2" s="43" t="s">
        <v>101</v>
      </c>
    </row>
    <row r="3" spans="1:32" s="41" customFormat="1" x14ac:dyDescent="0.25">
      <c r="A3" s="142"/>
      <c r="B3" s="140"/>
      <c r="C3" s="140"/>
    </row>
    <row r="4" spans="1:32" s="42" customFormat="1" x14ac:dyDescent="0.25">
      <c r="A4" s="143"/>
      <c r="B4" s="141"/>
      <c r="C4" s="141"/>
    </row>
    <row r="5" spans="1:32" x14ac:dyDescent="0.25">
      <c r="D5" s="3"/>
      <c r="E5" s="3"/>
      <c r="F5" s="3"/>
      <c r="G5" s="3"/>
      <c r="H5" s="3"/>
      <c r="I5" s="3"/>
      <c r="J5" s="3"/>
      <c r="K5" s="3"/>
      <c r="L5" s="3"/>
      <c r="M5" s="3"/>
      <c r="N5" s="3"/>
      <c r="O5" s="3"/>
      <c r="P5" s="3"/>
      <c r="Q5" s="3"/>
      <c r="R5" s="3"/>
      <c r="S5" s="3"/>
      <c r="T5" s="3"/>
      <c r="U5" s="3"/>
      <c r="V5" s="3"/>
      <c r="W5" s="3"/>
      <c r="X5" s="3"/>
      <c r="Y5" s="3"/>
      <c r="Z5" s="3"/>
      <c r="AA5" s="3"/>
      <c r="AB5" s="3"/>
      <c r="AC5" s="3"/>
      <c r="AD5" s="3"/>
      <c r="AF5" s="7"/>
    </row>
    <row r="6" spans="1:32" x14ac:dyDescent="0.25">
      <c r="D6" s="4"/>
      <c r="E6" s="4"/>
      <c r="F6" s="4"/>
      <c r="G6" s="4"/>
      <c r="H6" s="4"/>
      <c r="I6" s="4"/>
      <c r="J6" s="4"/>
      <c r="K6" s="4"/>
      <c r="L6" s="4"/>
      <c r="M6" s="4"/>
      <c r="N6" s="4"/>
      <c r="O6" s="4"/>
      <c r="P6" s="4"/>
      <c r="Q6" s="4"/>
      <c r="R6" s="4"/>
      <c r="S6" s="4"/>
      <c r="T6" s="4"/>
      <c r="U6" s="4"/>
      <c r="V6" s="4"/>
      <c r="W6" s="4"/>
      <c r="X6" s="4"/>
      <c r="Y6" s="4"/>
      <c r="Z6" s="4"/>
      <c r="AA6" s="4"/>
      <c r="AB6" s="4"/>
      <c r="AC6" s="4"/>
      <c r="AD6" s="4"/>
      <c r="AF6" s="7"/>
    </row>
    <row r="7" spans="1:32" x14ac:dyDescent="0.25">
      <c r="D7" s="4"/>
      <c r="E7" s="4"/>
      <c r="F7" s="4"/>
      <c r="G7" s="4"/>
      <c r="H7" s="4"/>
      <c r="I7" s="4"/>
      <c r="J7" s="4"/>
      <c r="K7" s="4"/>
      <c r="L7" s="4"/>
      <c r="M7" s="4"/>
      <c r="N7" s="4"/>
      <c r="O7" s="4"/>
      <c r="P7" s="4"/>
      <c r="Q7" s="4"/>
      <c r="R7" s="4"/>
      <c r="S7" s="4"/>
      <c r="T7" s="4"/>
      <c r="U7" s="4"/>
      <c r="V7" s="4"/>
      <c r="W7" s="4"/>
      <c r="X7" s="4"/>
      <c r="Y7" s="4"/>
      <c r="Z7" s="4"/>
      <c r="AA7" s="4"/>
      <c r="AB7" s="4"/>
      <c r="AC7" s="4"/>
      <c r="AD7" s="4"/>
      <c r="AF7" s="7"/>
    </row>
    <row r="8" spans="1:32" x14ac:dyDescent="0.25">
      <c r="D8" s="4"/>
      <c r="E8" s="4"/>
      <c r="F8" s="4"/>
      <c r="G8" s="4"/>
      <c r="H8" s="4"/>
      <c r="I8" s="4"/>
      <c r="J8" s="4"/>
      <c r="K8" s="4"/>
      <c r="L8" s="4"/>
      <c r="M8" s="4"/>
      <c r="N8" s="4"/>
      <c r="O8" s="4"/>
      <c r="P8" s="4"/>
      <c r="Q8" s="4"/>
      <c r="R8" s="4"/>
      <c r="S8" s="4"/>
      <c r="T8" s="4"/>
      <c r="U8" s="4"/>
      <c r="V8" s="4"/>
      <c r="W8" s="4"/>
      <c r="X8" s="4"/>
      <c r="Y8" s="4"/>
      <c r="Z8" s="4"/>
      <c r="AA8" s="4"/>
      <c r="AB8" s="4"/>
      <c r="AC8" s="4"/>
      <c r="AD8" s="4"/>
      <c r="AF8" s="7"/>
    </row>
    <row r="9" spans="1:32" x14ac:dyDescent="0.25">
      <c r="D9" s="4"/>
      <c r="E9" s="4"/>
      <c r="F9" s="4"/>
      <c r="G9" s="4"/>
      <c r="H9" s="4"/>
      <c r="I9" s="4"/>
      <c r="J9" s="4"/>
      <c r="K9" s="4"/>
      <c r="L9" s="4"/>
      <c r="M9" s="4"/>
      <c r="N9" s="4"/>
      <c r="O9" s="4"/>
      <c r="P9" s="4"/>
      <c r="Q9" s="4"/>
      <c r="R9" s="4"/>
      <c r="S9" s="4"/>
      <c r="T9" s="4"/>
      <c r="U9" s="4"/>
      <c r="V9" s="4"/>
      <c r="W9" s="4"/>
      <c r="X9" s="4"/>
      <c r="Y9" s="4"/>
      <c r="Z9" s="4"/>
      <c r="AA9" s="4"/>
      <c r="AB9" s="4"/>
      <c r="AC9" s="4"/>
      <c r="AD9" s="4"/>
      <c r="AF9" s="7"/>
    </row>
    <row r="10" spans="1:32" x14ac:dyDescent="0.25">
      <c r="D10" s="4"/>
      <c r="E10" s="4"/>
      <c r="F10" s="4"/>
      <c r="G10" s="4"/>
      <c r="H10" s="4"/>
      <c r="I10" s="4"/>
      <c r="J10" s="4"/>
      <c r="K10" s="4"/>
      <c r="L10" s="4"/>
      <c r="M10" s="4"/>
      <c r="N10" s="4"/>
      <c r="O10" s="4"/>
      <c r="P10" s="4"/>
      <c r="Q10" s="4"/>
      <c r="R10" s="4"/>
      <c r="S10" s="4"/>
      <c r="T10" s="4"/>
      <c r="U10" s="4"/>
      <c r="V10" s="4"/>
      <c r="W10" s="4"/>
      <c r="X10" s="4"/>
      <c r="Y10" s="4"/>
      <c r="Z10" s="4"/>
      <c r="AA10" s="4"/>
      <c r="AB10" s="4"/>
      <c r="AC10" s="4"/>
      <c r="AD10" s="4"/>
      <c r="AF10" s="7"/>
    </row>
    <row r="11" spans="1:32" x14ac:dyDescent="0.25">
      <c r="D11" s="4"/>
      <c r="E11" s="4"/>
      <c r="F11" s="4"/>
      <c r="G11" s="4"/>
      <c r="H11" s="4"/>
      <c r="I11" s="4"/>
      <c r="J11" s="4"/>
      <c r="K11" s="4"/>
      <c r="L11" s="4"/>
      <c r="M11" s="4"/>
      <c r="N11" s="4"/>
      <c r="O11" s="4"/>
      <c r="P11" s="4"/>
      <c r="Q11" s="4"/>
      <c r="R11" s="4"/>
      <c r="S11" s="4"/>
      <c r="T11" s="4"/>
      <c r="U11" s="4"/>
      <c r="V11" s="4"/>
      <c r="W11" s="4"/>
      <c r="X11" s="4"/>
      <c r="Y11" s="4"/>
      <c r="Z11" s="4"/>
      <c r="AA11" s="4"/>
      <c r="AB11" s="4"/>
      <c r="AC11" s="4"/>
      <c r="AD11" s="4"/>
      <c r="AF11" s="7"/>
    </row>
    <row r="12" spans="1:32" x14ac:dyDescent="0.25">
      <c r="D12" s="4"/>
      <c r="E12" s="4"/>
      <c r="F12" s="4"/>
      <c r="G12" s="4"/>
      <c r="H12" s="4"/>
      <c r="I12" s="4"/>
      <c r="J12" s="4"/>
      <c r="K12" s="4"/>
      <c r="L12" s="4"/>
      <c r="M12" s="4"/>
      <c r="N12" s="4"/>
      <c r="O12" s="4"/>
      <c r="P12" s="4"/>
      <c r="Q12" s="4"/>
      <c r="R12" s="4"/>
      <c r="S12" s="4"/>
      <c r="T12" s="4"/>
      <c r="U12" s="4"/>
      <c r="V12" s="4"/>
      <c r="W12" s="4"/>
      <c r="X12" s="4"/>
      <c r="Y12" s="4"/>
      <c r="Z12" s="4"/>
      <c r="AA12" s="4"/>
      <c r="AB12" s="4"/>
      <c r="AC12" s="4"/>
      <c r="AD12" s="4"/>
      <c r="AF12" s="7"/>
    </row>
    <row r="13" spans="1:32" x14ac:dyDescent="0.25">
      <c r="D13" s="3"/>
      <c r="E13" s="3"/>
      <c r="F13" s="3"/>
      <c r="G13" s="3"/>
      <c r="H13" s="3"/>
      <c r="I13" s="3"/>
      <c r="J13" s="3"/>
      <c r="K13" s="3"/>
      <c r="L13" s="3"/>
      <c r="M13" s="3"/>
      <c r="N13" s="3"/>
      <c r="O13" s="3"/>
      <c r="P13" s="3"/>
      <c r="Q13" s="3"/>
      <c r="R13" s="3"/>
      <c r="S13" s="3"/>
      <c r="T13" s="3"/>
      <c r="U13" s="3"/>
      <c r="V13" s="3"/>
      <c r="W13" s="3"/>
      <c r="X13" s="3"/>
      <c r="Y13" s="3"/>
      <c r="Z13" s="3"/>
      <c r="AA13" s="3"/>
      <c r="AB13" s="3"/>
      <c r="AC13" s="3"/>
      <c r="AD13" s="3"/>
      <c r="AF13" s="7"/>
    </row>
    <row r="14" spans="1:32" x14ac:dyDescent="0.25">
      <c r="D14" s="4"/>
      <c r="E14" s="4"/>
      <c r="F14" s="4"/>
      <c r="G14" s="4"/>
      <c r="H14" s="4"/>
      <c r="I14" s="4"/>
      <c r="J14" s="4"/>
      <c r="K14" s="4"/>
      <c r="L14" s="4"/>
      <c r="M14" s="4"/>
      <c r="N14" s="4"/>
      <c r="O14" s="4"/>
      <c r="P14" s="4"/>
      <c r="Q14" s="4"/>
      <c r="R14" s="4"/>
      <c r="S14" s="4"/>
      <c r="T14" s="4"/>
      <c r="U14" s="4"/>
      <c r="V14" s="4"/>
      <c r="W14" s="4"/>
      <c r="X14" s="4"/>
      <c r="Y14" s="4"/>
      <c r="Z14" s="4"/>
      <c r="AA14" s="4"/>
      <c r="AB14" s="4"/>
      <c r="AC14" s="4"/>
      <c r="AD14" s="4"/>
      <c r="AF14" s="7"/>
    </row>
    <row r="15" spans="1:32" x14ac:dyDescent="0.25">
      <c r="D15" s="3"/>
      <c r="E15" s="3"/>
      <c r="F15" s="3"/>
      <c r="G15" s="3"/>
      <c r="H15" s="3"/>
      <c r="I15" s="3"/>
      <c r="J15" s="3"/>
      <c r="K15" s="3"/>
      <c r="L15" s="3"/>
      <c r="M15" s="3"/>
      <c r="N15" s="3"/>
      <c r="O15" s="3"/>
      <c r="P15" s="3"/>
      <c r="Q15" s="3"/>
      <c r="R15" s="3"/>
      <c r="S15" s="3"/>
      <c r="T15" s="3"/>
      <c r="U15" s="3"/>
      <c r="V15" s="3"/>
      <c r="W15" s="3"/>
      <c r="X15" s="3"/>
      <c r="Y15" s="3"/>
      <c r="Z15" s="3"/>
      <c r="AA15" s="3"/>
      <c r="AB15" s="3"/>
      <c r="AC15" s="3"/>
      <c r="AD15" s="3"/>
      <c r="AF15" s="7"/>
    </row>
  </sheetData>
  <mergeCells count="3">
    <mergeCell ref="B2:B4"/>
    <mergeCell ref="C2:C4"/>
    <mergeCell ref="A2:A4"/>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C6D59-BAE4-4FB6-A90A-CAA3B29AA574}">
  <sheetPr codeName="Sheet6">
    <pageSetUpPr fitToPage="1"/>
  </sheetPr>
  <dimension ref="A1:AE42"/>
  <sheetViews>
    <sheetView topLeftCell="B1" workbookViewId="0"/>
  </sheetViews>
  <sheetFormatPr defaultColWidth="8.85546875" defaultRowHeight="15" x14ac:dyDescent="0.25"/>
  <cols>
    <col min="1" max="1" width="9.85546875" hidden="1" customWidth="1"/>
    <col min="2" max="2" width="10.28515625" style="65" customWidth="1"/>
    <col min="3" max="3" width="9.7109375" style="66" customWidth="1"/>
    <col min="4" max="4" width="9" style="66" customWidth="1"/>
    <col min="5" max="5" width="9.7109375" hidden="1" customWidth="1"/>
    <col min="6" max="6" width="10.140625" style="64" customWidth="1"/>
    <col min="7" max="7" width="9.140625" style="64" customWidth="1"/>
    <col min="8" max="8" width="33.7109375" style="101" customWidth="1"/>
    <col min="9" max="9" width="28.140625" style="2" customWidth="1"/>
    <col min="10" max="10" width="28.140625" style="5" customWidth="1"/>
    <col min="11" max="11" width="19.28515625" customWidth="1"/>
    <col min="12" max="12" width="9" customWidth="1"/>
    <col min="13" max="13" width="8" customWidth="1"/>
    <col min="15" max="15" width="7.28515625" customWidth="1"/>
    <col min="16" max="16" width="10.85546875" customWidth="1"/>
    <col min="17" max="17" width="10.28515625" customWidth="1"/>
    <col min="18" max="18" width="9.7109375" style="18" customWidth="1"/>
    <col min="19" max="19" width="11.28515625" style="69" customWidth="1"/>
    <col min="20" max="20" width="11.140625" style="69" customWidth="1"/>
    <col min="22" max="22" width="26.28515625" customWidth="1"/>
    <col min="23" max="23" width="7.7109375" customWidth="1"/>
    <col min="24" max="26" width="8.85546875" customWidth="1"/>
    <col min="27" max="27" width="10.85546875" customWidth="1"/>
    <col min="28" max="28" width="10.28515625" customWidth="1"/>
    <col min="29" max="29" width="9.7109375" style="18" customWidth="1"/>
    <col min="30" max="30" width="11.28515625" style="69" customWidth="1"/>
    <col min="31" max="31" width="11.140625" style="69" customWidth="1"/>
  </cols>
  <sheetData>
    <row r="1" spans="1:31" s="6" customFormat="1" ht="33.75" customHeight="1" x14ac:dyDescent="0.25">
      <c r="D1" s="50" t="str">
        <f>AEAS_AssessmentTitle</f>
        <v>Replace with your subject and relevant key stage (e.g. French GCSE)</v>
      </c>
      <c r="E1" s="50"/>
      <c r="F1" s="50"/>
      <c r="G1" s="50"/>
      <c r="H1" s="95"/>
      <c r="I1" s="50"/>
      <c r="J1" s="50"/>
      <c r="K1" s="50"/>
      <c r="L1" s="50"/>
      <c r="M1" s="50"/>
      <c r="N1" s="50"/>
      <c r="O1" s="50"/>
      <c r="P1" s="50"/>
      <c r="Q1" s="50"/>
      <c r="R1" s="28"/>
      <c r="S1" s="68"/>
      <c r="T1" s="68"/>
      <c r="AA1" s="50"/>
      <c r="AB1" s="50"/>
      <c r="AC1" s="28"/>
      <c r="AD1" s="68"/>
      <c r="AE1" s="68"/>
    </row>
    <row r="2" spans="1:31" ht="6" customHeight="1" x14ac:dyDescent="0.25">
      <c r="B2"/>
      <c r="C2"/>
      <c r="D2"/>
      <c r="E2" s="5"/>
      <c r="F2"/>
      <c r="G2" s="29"/>
      <c r="H2" s="98"/>
      <c r="I2" s="5"/>
    </row>
    <row r="3" spans="1:31" ht="23.25" x14ac:dyDescent="0.35">
      <c r="B3"/>
      <c r="C3"/>
      <c r="D3" s="13" t="s">
        <v>9</v>
      </c>
      <c r="E3" s="13"/>
      <c r="F3" s="145"/>
      <c r="G3" s="145"/>
      <c r="H3" s="145"/>
      <c r="I3" s="145"/>
      <c r="J3" s="145"/>
      <c r="K3" s="13" t="s">
        <v>10</v>
      </c>
    </row>
    <row r="4" spans="1:31" ht="25.5" customHeight="1" x14ac:dyDescent="0.3">
      <c r="B4"/>
      <c r="C4"/>
      <c r="D4" s="14" t="s">
        <v>5</v>
      </c>
      <c r="E4" s="13"/>
      <c r="F4" s="14" t="e">
        <f>VLOOKUP(PupilName,AEAS_Data,2,FALSE)</f>
        <v>#NAME?</v>
      </c>
      <c r="G4" s="30"/>
      <c r="H4" s="96"/>
      <c r="I4" s="13"/>
      <c r="J4" s="13"/>
      <c r="K4" s="8" t="e">
        <f>_xlfn.CONCAT("Total mark (/",AEAS_TotalMarks,"):")</f>
        <v>#NAME?</v>
      </c>
      <c r="L4" s="9" t="e">
        <f>VLOOKUP(PupilName,AEAS_Data,13, FALSE)</f>
        <v>#NAME?</v>
      </c>
      <c r="M4" s="90" t="e">
        <f>_xlfn.CONCAT("(",ROUND(L4/(AEAS_TotalMarks)*100, 0),"%)")</f>
        <v>#NAME?</v>
      </c>
      <c r="N4" s="10" t="s">
        <v>7</v>
      </c>
      <c r="O4" s="11" t="e">
        <f>VLOOKUP((L4/AEAS_TotalMarks),AEAS_GradeBoundaries,2, TRUE)</f>
        <v>#NAME?</v>
      </c>
    </row>
    <row r="5" spans="1:31" ht="21.75" customHeight="1" x14ac:dyDescent="0.25">
      <c r="B5" s="12"/>
      <c r="C5" s="12"/>
      <c r="D5" s="12"/>
      <c r="E5" s="12"/>
      <c r="F5" s="12"/>
      <c r="G5" s="31"/>
      <c r="H5" s="99"/>
      <c r="I5" s="12"/>
      <c r="J5" s="12"/>
      <c r="K5" s="12"/>
      <c r="L5" s="12"/>
      <c r="M5" s="12"/>
      <c r="N5" s="12"/>
      <c r="O5" s="12"/>
    </row>
    <row r="6" spans="1:31" s="33" customFormat="1" ht="31.5" customHeight="1" x14ac:dyDescent="0.25">
      <c r="A6" s="35" t="s">
        <v>2</v>
      </c>
      <c r="B6" s="36" t="s">
        <v>35</v>
      </c>
      <c r="C6" s="36" t="s">
        <v>34</v>
      </c>
      <c r="D6" s="36" t="s">
        <v>36</v>
      </c>
      <c r="E6" s="36" t="s">
        <v>3</v>
      </c>
      <c r="F6" s="36" t="s">
        <v>8</v>
      </c>
      <c r="G6" s="37" t="s">
        <v>32</v>
      </c>
      <c r="H6" s="97" t="s">
        <v>108</v>
      </c>
      <c r="I6" s="38" t="str">
        <f>Setup!D10</f>
        <v>Enter desecription, e.g. "Specification area"</v>
      </c>
      <c r="J6" s="38" t="str">
        <f>Setup!E10</f>
        <v>Enter desecription, e.g. "Skill"</v>
      </c>
      <c r="R6" s="39"/>
      <c r="S6" s="70"/>
      <c r="T6" s="70"/>
      <c r="AC6" s="39"/>
      <c r="AD6" s="70"/>
      <c r="AE6" s="70"/>
    </row>
    <row r="7" spans="1:31" x14ac:dyDescent="0.25">
      <c r="E7" s="7"/>
      <c r="F7" s="51"/>
      <c r="G7" s="51"/>
      <c r="H7" s="100"/>
      <c r="I7"/>
    </row>
    <row r="8" spans="1:31" x14ac:dyDescent="0.25">
      <c r="E8" s="7"/>
      <c r="F8" s="51"/>
      <c r="G8" s="51"/>
      <c r="H8" s="100"/>
      <c r="I8"/>
    </row>
    <row r="9" spans="1:31" x14ac:dyDescent="0.25">
      <c r="E9" s="7"/>
      <c r="F9" s="51"/>
      <c r="G9" s="51"/>
      <c r="H9" s="100"/>
      <c r="I9"/>
    </row>
    <row r="10" spans="1:31" x14ac:dyDescent="0.25">
      <c r="E10" s="7"/>
      <c r="F10" s="51"/>
      <c r="G10" s="51"/>
      <c r="H10" s="100"/>
      <c r="I10"/>
    </row>
    <row r="11" spans="1:31" x14ac:dyDescent="0.25">
      <c r="E11" s="7"/>
      <c r="F11" s="51"/>
      <c r="G11" s="51"/>
      <c r="H11" s="100"/>
      <c r="I11"/>
    </row>
    <row r="12" spans="1:31" x14ac:dyDescent="0.25">
      <c r="E12" s="7"/>
      <c r="F12" s="51"/>
      <c r="G12" s="51"/>
      <c r="H12" s="100"/>
      <c r="I12"/>
    </row>
    <row r="13" spans="1:31" x14ac:dyDescent="0.25">
      <c r="E13" s="7"/>
      <c r="F13" s="51"/>
      <c r="G13" s="51"/>
      <c r="H13" s="100"/>
      <c r="I13"/>
    </row>
    <row r="14" spans="1:31" x14ac:dyDescent="0.25">
      <c r="E14" s="7"/>
      <c r="F14" s="51"/>
      <c r="G14" s="51"/>
      <c r="H14" s="100"/>
      <c r="I14"/>
    </row>
    <row r="15" spans="1:31" x14ac:dyDescent="0.25">
      <c r="E15" s="7"/>
      <c r="F15" s="51"/>
      <c r="G15" s="51"/>
      <c r="H15" s="100"/>
      <c r="I15"/>
    </row>
    <row r="16" spans="1:31" x14ac:dyDescent="0.25">
      <c r="E16" s="7"/>
      <c r="F16" s="51"/>
      <c r="G16" s="51"/>
      <c r="H16" s="100"/>
      <c r="I16"/>
    </row>
    <row r="17" spans="5:9" x14ac:dyDescent="0.25">
      <c r="E17" s="7"/>
      <c r="F17" s="51"/>
      <c r="G17" s="51"/>
      <c r="H17" s="100"/>
      <c r="I17"/>
    </row>
    <row r="18" spans="5:9" x14ac:dyDescent="0.25">
      <c r="E18" s="7"/>
      <c r="F18" s="51"/>
      <c r="G18" s="51"/>
      <c r="H18" s="100"/>
      <c r="I18"/>
    </row>
    <row r="19" spans="5:9" x14ac:dyDescent="0.25">
      <c r="E19" s="7"/>
      <c r="F19" s="51"/>
      <c r="G19" s="51"/>
      <c r="H19" s="100"/>
      <c r="I19"/>
    </row>
    <row r="20" spans="5:9" x14ac:dyDescent="0.25">
      <c r="E20" s="7"/>
      <c r="F20" s="51"/>
      <c r="G20" s="51"/>
      <c r="H20" s="100"/>
      <c r="I20"/>
    </row>
    <row r="21" spans="5:9" x14ac:dyDescent="0.25">
      <c r="E21" s="7"/>
      <c r="F21" s="51"/>
      <c r="G21" s="51"/>
      <c r="H21" s="100"/>
      <c r="I21"/>
    </row>
    <row r="22" spans="5:9" x14ac:dyDescent="0.25">
      <c r="E22" s="7"/>
      <c r="F22" s="51"/>
      <c r="G22" s="51"/>
      <c r="H22" s="100"/>
      <c r="I22"/>
    </row>
    <row r="23" spans="5:9" x14ac:dyDescent="0.25">
      <c r="E23" s="7"/>
      <c r="F23" s="51"/>
      <c r="G23" s="51"/>
      <c r="H23" s="100"/>
      <c r="I23"/>
    </row>
    <row r="24" spans="5:9" x14ac:dyDescent="0.25">
      <c r="E24" s="7"/>
      <c r="F24" s="51"/>
      <c r="G24" s="51"/>
      <c r="H24" s="100"/>
      <c r="I24"/>
    </row>
    <row r="25" spans="5:9" x14ac:dyDescent="0.25">
      <c r="E25" s="7"/>
      <c r="F25" s="51"/>
      <c r="G25" s="51"/>
      <c r="H25" s="100"/>
      <c r="I25"/>
    </row>
    <row r="26" spans="5:9" x14ac:dyDescent="0.25">
      <c r="E26" s="7"/>
      <c r="F26" s="51"/>
      <c r="G26" s="51"/>
      <c r="H26" s="100"/>
      <c r="I26"/>
    </row>
    <row r="27" spans="5:9" x14ac:dyDescent="0.25">
      <c r="E27" s="7"/>
      <c r="F27" s="51"/>
      <c r="G27" s="51"/>
      <c r="H27" s="100"/>
      <c r="I27"/>
    </row>
    <row r="28" spans="5:9" x14ac:dyDescent="0.25">
      <c r="E28" s="7"/>
      <c r="F28" s="51"/>
      <c r="G28" s="51"/>
      <c r="H28" s="100"/>
      <c r="I28"/>
    </row>
    <row r="29" spans="5:9" x14ac:dyDescent="0.25">
      <c r="E29" s="7"/>
      <c r="F29" s="51"/>
      <c r="G29" s="51"/>
      <c r="H29" s="100"/>
      <c r="I29"/>
    </row>
    <row r="30" spans="5:9" x14ac:dyDescent="0.25">
      <c r="E30" s="7"/>
      <c r="F30" s="51"/>
      <c r="G30" s="51"/>
      <c r="H30" s="100"/>
      <c r="I30"/>
    </row>
    <row r="31" spans="5:9" x14ac:dyDescent="0.25">
      <c r="E31" s="7"/>
      <c r="F31" s="51"/>
      <c r="G31" s="51"/>
      <c r="H31" s="100"/>
      <c r="I31"/>
    </row>
    <row r="32" spans="5:9" x14ac:dyDescent="0.25">
      <c r="E32" s="7"/>
      <c r="F32" s="51"/>
      <c r="G32" s="51"/>
      <c r="H32" s="100"/>
      <c r="I32"/>
    </row>
    <row r="33" spans="5:31" x14ac:dyDescent="0.25">
      <c r="E33" s="7"/>
      <c r="F33" s="51"/>
      <c r="G33" s="51"/>
      <c r="H33" s="100"/>
      <c r="I33"/>
    </row>
    <row r="35" spans="5:31" x14ac:dyDescent="0.25">
      <c r="I35"/>
    </row>
    <row r="36" spans="5:31" x14ac:dyDescent="0.25">
      <c r="I36"/>
    </row>
    <row r="37" spans="5:31" x14ac:dyDescent="0.25">
      <c r="I37"/>
      <c r="N37" s="17"/>
    </row>
    <row r="38" spans="5:31" ht="18.75" x14ac:dyDescent="0.3">
      <c r="I38"/>
      <c r="K38" s="15" t="str">
        <f>CONCATENATE("Assessment perspective summary: ", I6)</f>
        <v>Assessment perspective summary: Enter desecription, e.g. "Specification area"</v>
      </c>
      <c r="N38" s="17"/>
      <c r="V38" s="15" t="str">
        <f>CONCATENATE("Assessment perspective summary: ", J6)</f>
        <v>Assessment perspective summary: Enter desecription, e.g. "Skill"</v>
      </c>
      <c r="Y38" s="17"/>
    </row>
    <row r="39" spans="5:31" ht="30" x14ac:dyDescent="0.25">
      <c r="I39"/>
      <c r="K39" s="144" t="s">
        <v>102</v>
      </c>
      <c r="L39" s="144"/>
      <c r="M39" s="144"/>
      <c r="N39" s="144"/>
      <c r="O39" s="34"/>
      <c r="P39" s="91" t="s">
        <v>14</v>
      </c>
      <c r="Q39" s="91" t="s">
        <v>15</v>
      </c>
      <c r="R39" s="92" t="s">
        <v>4</v>
      </c>
      <c r="S39" s="93" t="s">
        <v>66</v>
      </c>
      <c r="T39" s="93" t="s">
        <v>67</v>
      </c>
      <c r="V39" s="144" t="s">
        <v>102</v>
      </c>
      <c r="W39" s="144"/>
      <c r="X39" s="144"/>
      <c r="Y39" s="144"/>
      <c r="Z39" s="34"/>
      <c r="AA39" s="91" t="s">
        <v>14</v>
      </c>
      <c r="AB39" s="91" t="s">
        <v>15</v>
      </c>
      <c r="AC39" s="92" t="s">
        <v>4</v>
      </c>
      <c r="AD39" s="93" t="s">
        <v>66</v>
      </c>
      <c r="AE39" s="93" t="s">
        <v>67</v>
      </c>
    </row>
    <row r="40" spans="5:31" x14ac:dyDescent="0.25">
      <c r="I40"/>
      <c r="N40" s="17"/>
    </row>
    <row r="41" spans="5:31" x14ac:dyDescent="0.25">
      <c r="I41"/>
      <c r="N41" s="17"/>
    </row>
    <row r="42" spans="5:31" x14ac:dyDescent="0.25">
      <c r="I42"/>
      <c r="N42" s="17"/>
    </row>
  </sheetData>
  <mergeCells count="3">
    <mergeCell ref="K39:N39"/>
    <mergeCell ref="F3:J3"/>
    <mergeCell ref="V39:Y39"/>
  </mergeCells>
  <conditionalFormatting sqref="D7:D1048576">
    <cfRule type="containsBlanks" priority="35" stopIfTrue="1">
      <formula>LEN(TRIM(D7))=0</formula>
    </cfRule>
  </conditionalFormatting>
  <conditionalFormatting sqref="R1:R1048576">
    <cfRule type="containsBlanks" priority="29" stopIfTrue="1">
      <formula>LEN(TRIM(R1))=0</formula>
    </cfRule>
  </conditionalFormatting>
  <conditionalFormatting sqref="R39">
    <cfRule type="containsText" priority="28" stopIfTrue="1" operator="containsText" text="% achieved">
      <formula>NOT(ISERROR(SEARCH("% achieved",R39)))</formula>
    </cfRule>
  </conditionalFormatting>
  <conditionalFormatting sqref="AC1:AC1048576">
    <cfRule type="containsBlanks" priority="2" stopIfTrue="1">
      <formula>LEN(TRIM(AC1))=0</formula>
    </cfRule>
  </conditionalFormatting>
  <conditionalFormatting sqref="AC39">
    <cfRule type="containsText" priority="1" stopIfTrue="1" operator="containsText" text="% achieved">
      <formula>NOT(ISERROR(SEARCH("% achieved",AC39)))</formula>
    </cfRule>
  </conditionalFormatting>
  <dataValidations disablePrompts="1" count="1">
    <dataValidation type="list" allowBlank="1" showInputMessage="1" showErrorMessage="1" sqref="F3" xr:uid="{5426A1A6-38AA-4353-89E8-B0E766B2DDB0}">
      <formula1>#REF!</formula1>
    </dataValidation>
  </dataValidations>
  <pageMargins left="0.7" right="0.7" top="0.75" bottom="0.75" header="0.3" footer="0.3"/>
  <pageSetup paperSize="9" scale="5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ExportPupilSummaryPDF">
                <anchor moveWithCells="1" sizeWithCells="1">
                  <from>
                    <xdr:col>17</xdr:col>
                    <xdr:colOff>228600</xdr:colOff>
                    <xdr:row>0</xdr:row>
                    <xdr:rowOff>371475</xdr:rowOff>
                  </from>
                  <to>
                    <xdr:col>19</xdr:col>
                    <xdr:colOff>781050</xdr:colOff>
                    <xdr:row>4</xdr:row>
                    <xdr:rowOff>19050</xdr:rowOff>
                  </to>
                </anchor>
              </controlPr>
            </control>
          </mc:Choice>
        </mc:AlternateContent>
        <mc:AlternateContent xmlns:mc="http://schemas.openxmlformats.org/markup-compatibility/2006">
          <mc:Choice Requires="x14">
            <control shapeId="6148" r:id="rId5" name="Check Box 4">
              <controlPr defaultSize="0" print="0" autoFill="0" autoLine="0" autoPict="0" macro="[0]!PIS_Chart1_CheckBox_Responder">
                <anchor moveWithCells="1">
                  <from>
                    <xdr:col>10</xdr:col>
                    <xdr:colOff>66675</xdr:colOff>
                    <xdr:row>34</xdr:row>
                    <xdr:rowOff>152400</xdr:rowOff>
                  </from>
                  <to>
                    <xdr:col>12</xdr:col>
                    <xdr:colOff>38100</xdr:colOff>
                    <xdr:row>36</xdr:row>
                    <xdr:rowOff>38100</xdr:rowOff>
                  </to>
                </anchor>
              </controlPr>
            </control>
          </mc:Choice>
        </mc:AlternateContent>
        <mc:AlternateContent xmlns:mc="http://schemas.openxmlformats.org/markup-compatibility/2006">
          <mc:Choice Requires="x14">
            <control shapeId="6157" r:id="rId6" name="Check Box 13">
              <controlPr defaultSize="0" print="0" autoFill="0" autoLine="0" autoPict="0" macro="[0]!PIS_Chart2_CheckBox_Responder">
                <anchor moveWithCells="1">
                  <from>
                    <xdr:col>21</xdr:col>
                    <xdr:colOff>66675</xdr:colOff>
                    <xdr:row>34</xdr:row>
                    <xdr:rowOff>152400</xdr:rowOff>
                  </from>
                  <to>
                    <xdr:col>22</xdr:col>
                    <xdr:colOff>219075</xdr:colOff>
                    <xdr:row>36</xdr:row>
                    <xdr:rowOff>38100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ateDueForReview xmlns="2730ede9-796d-4fd8-80e0-e1da90c3cc85" xsi:nil="true"/>
    <Policy_x0020_Owner xmlns="2730ede9-796d-4fd8-80e0-e1da90c3cc85">
      <UserInfo>
        <DisplayName/>
        <AccountId xsi:nil="true"/>
        <AccountType/>
      </UserInfo>
    </Policy_x0020_Owner>
    <NewFormat xmlns="2730ede9-796d-4fd8-80e0-e1da90c3cc85">false</NewFormat>
    <_Flow_SignoffStatus xmlns="2730ede9-796d-4fd8-80e0-e1da90c3cc8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3556364708EF645B576095D49CD5AC5" ma:contentTypeVersion="19" ma:contentTypeDescription="Create a new document." ma:contentTypeScope="" ma:versionID="8c6e4980c23eb9da4777a58ab10613b0">
  <xsd:schema xmlns:xsd="http://www.w3.org/2001/XMLSchema" xmlns:xs="http://www.w3.org/2001/XMLSchema" xmlns:p="http://schemas.microsoft.com/office/2006/metadata/properties" xmlns:ns2="2730ede9-796d-4fd8-80e0-e1da90c3cc85" xmlns:ns3="ae43b738-0c24-4517-bdda-ca9f4498d120" targetNamespace="http://schemas.microsoft.com/office/2006/metadata/properties" ma:root="true" ma:fieldsID="e02bc10633918107675e61fb3ccd39ed" ns2:_="" ns3:_="">
    <xsd:import namespace="2730ede9-796d-4fd8-80e0-e1da90c3cc85"/>
    <xsd:import namespace="ae43b738-0c24-4517-bdda-ca9f4498d120"/>
    <xsd:element name="properties">
      <xsd:complexType>
        <xsd:sequence>
          <xsd:element name="documentManagement">
            <xsd:complexType>
              <xsd:all>
                <xsd:element ref="ns2:DateDueForReview" minOccurs="0"/>
                <xsd:element ref="ns2:Policy_x0020_Owner" minOccurs="0"/>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Location" minOccurs="0"/>
                <xsd:element ref="ns3:SharedWithUsers" minOccurs="0"/>
                <xsd:element ref="ns3:SharedWithDetails" minOccurs="0"/>
                <xsd:element ref="ns2:MediaLengthInSeconds" minOccurs="0"/>
                <xsd:element ref="ns2:NewFormat" minOccurs="0"/>
                <xsd:element ref="ns2:_Flow_Signoff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730ede9-796d-4fd8-80e0-e1da90c3cc85" elementFormDefault="qualified">
    <xsd:import namespace="http://schemas.microsoft.com/office/2006/documentManagement/types"/>
    <xsd:import namespace="http://schemas.microsoft.com/office/infopath/2007/PartnerControls"/>
    <xsd:element name="DateDueForReview" ma:index="8" nillable="true" ma:displayName="Date Due For Review" ma:format="DateOnly" ma:internalName="DateDueForReview">
      <xsd:simpleType>
        <xsd:restriction base="dms:DateTime"/>
      </xsd:simpleType>
    </xsd:element>
    <xsd:element name="Policy_x0020_Owner" ma:index="9" nillable="true" ma:displayName="Policy Owner" ma:description="This is the person responsible for maintaining and reviewing the policy" ma:format="Dropdown" ma:list="UserInfo" ma:SearchPeopleOnly="false" ma:SharePointGroup="0" ma:internalName="Policy_x0020_Owner" ma:readOnly="fals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2" nillable="true" ma:displayName="Length (seconds)" ma:internalName="MediaLengthInSeconds" ma:readOnly="true">
      <xsd:simpleType>
        <xsd:restriction base="dms:Unknown"/>
      </xsd:simpleType>
    </xsd:element>
    <xsd:element name="NewFormat" ma:index="23" nillable="true" ma:displayName="New Format" ma:default="0" ma:description="JH has reformatted Policy" ma:format="Dropdown" ma:internalName="NewFormat">
      <xsd:simpleType>
        <xsd:restriction base="dms:Boolean"/>
      </xsd:simpleType>
    </xsd:element>
    <xsd:element name="_Flow_SignoffStatus" ma:index="24" nillable="true" ma:displayName="Sign-off status" ma:internalName="Sign_x002d_off_x0020_status">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e43b738-0c24-4517-bdda-ca9f4498d120" elementFormDefault="qualified">
    <xsd:import namespace="http://schemas.microsoft.com/office/2006/documentManagement/types"/>
    <xsd:import namespace="http://schemas.microsoft.com/office/infopath/2007/PartnerControls"/>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AA2D041-DC3B-493A-9724-20EEFA7A61AE}">
  <ds:schemaRefs>
    <ds:schemaRef ds:uri="http://schemas.microsoft.com/sharepoint/v3/contenttype/forms"/>
  </ds:schemaRefs>
</ds:datastoreItem>
</file>

<file path=customXml/itemProps2.xml><?xml version="1.0" encoding="utf-8"?>
<ds:datastoreItem xmlns:ds="http://schemas.openxmlformats.org/officeDocument/2006/customXml" ds:itemID="{EADFDCDC-0FDF-42D8-A5EC-FF15F3080488}">
  <ds:schemaRefs>
    <ds:schemaRef ds:uri="http://www.w3.org/XML/1998/namespace"/>
    <ds:schemaRef ds:uri="http://purl.org/dc/elements/1.1/"/>
    <ds:schemaRef ds:uri="db5933cb-1942-4f3c-a937-596b46c9b63f"/>
    <ds:schemaRef ds:uri="http://schemas.microsoft.com/office/2006/metadata/properties"/>
    <ds:schemaRef ds:uri="http://schemas.openxmlformats.org/package/2006/metadata/core-properties"/>
    <ds:schemaRef ds:uri="http://purl.org/dc/dcmitype/"/>
    <ds:schemaRef ds:uri="http://schemas.microsoft.com/office/2006/documentManagement/types"/>
    <ds:schemaRef ds:uri="http://schemas.microsoft.com/office/infopath/2007/PartnerControls"/>
    <ds:schemaRef ds:uri="e553ed70-8a72-4eb2-b657-e0eb32545ce8"/>
    <ds:schemaRef ds:uri="http://purl.org/dc/terms/"/>
  </ds:schemaRefs>
</ds:datastoreItem>
</file>

<file path=customXml/itemProps3.xml><?xml version="1.0" encoding="utf-8"?>
<ds:datastoreItem xmlns:ds="http://schemas.openxmlformats.org/officeDocument/2006/customXml" ds:itemID="{2E60E915-988C-48A0-8BFA-B799EEA738E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20</vt:i4>
      </vt:variant>
    </vt:vector>
  </HeadingPairs>
  <TitlesOfParts>
    <vt:vector size="28" baseType="lpstr">
      <vt:lpstr>TODO</vt:lpstr>
      <vt:lpstr>Home</vt:lpstr>
      <vt:lpstr>Setup</vt:lpstr>
      <vt:lpstr>AEAS Info</vt:lpstr>
      <vt:lpstr>CIS Data TEMPLATE</vt:lpstr>
      <vt:lpstr>Cohort Insight TEMPLATE</vt:lpstr>
      <vt:lpstr>Data Entry Sheet TEMPLATE</vt:lpstr>
      <vt:lpstr>Pupil Insight TEMPLATE</vt:lpstr>
      <vt:lpstr>AEAS_Assessment_Perspective_1_Title</vt:lpstr>
      <vt:lpstr>AEAS_Assessment_Perspective_2_Title</vt:lpstr>
      <vt:lpstr>AEAS_AssessmentTitle</vt:lpstr>
      <vt:lpstr>AEAS_ColourBoundaries</vt:lpstr>
      <vt:lpstr>AEAS_GradeBoundaries</vt:lpstr>
      <vt:lpstr>AEAS_QuestionMaxMarks</vt:lpstr>
      <vt:lpstr>'Pupil Insight TEMPLATE'!PupilName</vt:lpstr>
      <vt:lpstr>vChart1ShowPctMarks</vt:lpstr>
      <vt:lpstr>vChart2ShowPctMarks</vt:lpstr>
      <vt:lpstr>vCIS_CG_AP1ChartByGroupShowDiffFromAll</vt:lpstr>
      <vt:lpstr>vCIS_CG_AP1ChartByPerspectiveShowDiffFromAll</vt:lpstr>
      <vt:lpstr>vCIS_CG_AP2ChartByGroupShowDiffFromAll</vt:lpstr>
      <vt:lpstr>vCIS_CG_AP2ChartByPerspectiveShowDiffFromAll</vt:lpstr>
      <vt:lpstr>vCIS_ClassGroupAveragesChartShowDifferences</vt:lpstr>
      <vt:lpstr>vCIS_VG_AP1ChartByGroupShowDiffFromAll</vt:lpstr>
      <vt:lpstr>vCIS_VG_AP1ChartByPerspectiveShowDiffFromAll</vt:lpstr>
      <vt:lpstr>vCIS_VG_AP2ChartByGroupShowDiffFromAll</vt:lpstr>
      <vt:lpstr>vCIS_VG_AP2ChartByPerspectiveShowDiffFromAll</vt:lpstr>
      <vt:lpstr>vHideAssessmentPerspective2Data</vt:lpstr>
      <vt:lpstr>vIncludeCohortDataInCharts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Dimmick</dc:creator>
  <cp:lastModifiedBy>Adam Dimmick</cp:lastModifiedBy>
  <cp:lastPrinted>2022-01-04T21:45:53Z</cp:lastPrinted>
  <dcterms:created xsi:type="dcterms:W3CDTF">2020-10-12T08:44:12Z</dcterms:created>
  <dcterms:modified xsi:type="dcterms:W3CDTF">2022-01-11T09:06:56Z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0x01010093556364708EF645B576095D49CD5AC5</vt:lpwstr>
  </property>
</Properties>
</file>