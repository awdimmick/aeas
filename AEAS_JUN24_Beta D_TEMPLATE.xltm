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adimmick\OneDrive - Reading School\08) Digital Learning Resources\AEAS\Latest version\"/>
    </mc:Choice>
  </mc:AlternateContent>
  <xr:revisionPtr revIDLastSave="0" documentId="13_ncr:11_{9E3F67A0-BBBF-484E-BE72-0B8EF5E89B45}" xr6:coauthVersionLast="47" xr6:coauthVersionMax="47" xr10:uidLastSave="{00000000-0000-0000-0000-000000000000}"/>
  <bookViews>
    <workbookView xWindow="-120" yWindow="-120" windowWidth="29040" windowHeight="15840" firstSheet="1" activeTab="1" xr2:uid="{E70CDE62-124B-4B36-B5CD-189F376B57D6}"/>
  </bookViews>
  <sheets>
    <sheet name="TODO" sheetId="78" state="hidden" r:id="rId1"/>
    <sheet name="Home" sheetId="86" r:id="rId2"/>
    <sheet name="Setup" sheetId="4" r:id="rId3"/>
    <sheet name="Pupil Data Summary TEMPLATE" sheetId="163" state="hidden" r:id="rId4"/>
    <sheet name="AEAS Info" sheetId="85" state="hidden" r:id="rId5"/>
    <sheet name="CIS Data TEMPLATE" sheetId="123" state="hidden" r:id="rId6"/>
    <sheet name="Cohort Insight TEMPLATE" sheetId="162" state="hidden" r:id="rId7"/>
    <sheet name="Data Entry Sheet TEMPLATE" sheetId="80" state="hidden" r:id="rId8"/>
    <sheet name="Pupil Insight TEMPLATE" sheetId="6" state="hidden" r:id="rId9"/>
  </sheets>
  <functionGroups builtInGroupCount="19"/>
  <externalReferences>
    <externalReference r:id="rId10"/>
  </externalReferences>
  <definedNames>
    <definedName name="_xlnm._FilterDatabase" localSheetId="0" hidden="1">TODO!$A$1:$E$29</definedName>
    <definedName name="AEAS_Ass_Perspective_1_Items">[1]Setup!$D$11:$D$34</definedName>
    <definedName name="AEAS_Ass_Perspective_2_Items">[1]Setup!$E$11:$E$34</definedName>
    <definedName name="AEAS_Assessment_Perspective_1_Title">Setup!$D$10</definedName>
    <definedName name="AEAS_Assessment_Perspective_2_Title">Setup!$E$10</definedName>
    <definedName name="AEAS_AssessmentTitle" localSheetId="3">[1]Setup!$A$2</definedName>
    <definedName name="AEAS_AssessmentTitle">Setup!$A$2</definedName>
    <definedName name="AEAS_ClassMarks">'[1]Pupil Insight'!$G$7:$G$30</definedName>
    <definedName name="AEAS_CohortMarks">'[1]Pupil Insight'!$F$7:$F$30</definedName>
    <definedName name="AEAS_ColourBoundaries">Setup!$J$15:$K$20</definedName>
    <definedName name="AEAS_Data">'[1]Data Entry Sheet'!$A$5:$AH$99</definedName>
    <definedName name="AEAS_GradeBoundaries" localSheetId="3">[1]Setup!$G$10:$H$38</definedName>
    <definedName name="AEAS_GradeBoundaries">Setup!$G$10:$H$38</definedName>
    <definedName name="AEAS_PIS_Chart1Labels">'[1]Pupil Insight'!$K$40:$K$43</definedName>
    <definedName name="AEAS_PIS_Chart1MarksAvailableValues">'[1]Pupil Insight'!$P$40:$P$43</definedName>
    <definedName name="AEAS_PIS_Chart1PcntMarksValues">'[1]Pupil Insight'!$R$40:$R$43</definedName>
    <definedName name="AEAS_PIS_Chart1RawMarksValues">'[1]Pupil Insight'!$Q$40:$Q$43</definedName>
    <definedName name="AEAS_PIS_Chart2Labels">'[1]Pupil Insight'!$V$40:$V$43</definedName>
    <definedName name="AEAS_PIS_Chart2MarksAvailableValues">'[1]Pupil Insight'!$AA$40:$AA$43</definedName>
    <definedName name="AEAS_PIS_Chart2PcntMarksValues">'[1]Pupil Insight'!$AC$40:$AC$43</definedName>
    <definedName name="AEAS_PIS_Chart2RawMarksValues">'[1]Pupil Insight'!$AB$40:$AB$43</definedName>
    <definedName name="AEAS_PupilMarks">'[1]Pupil Insight'!$D$7:$D$30</definedName>
    <definedName name="AEAS_PupilMarksAss_Perspective_1_Links">'[1]Pupil Insight'!$I$7:$I$30</definedName>
    <definedName name="AEAS_PupilMarksAss_Perspective_2_Links">'[1]Pupil Insight'!$J$7:$J$30</definedName>
    <definedName name="AEAS_PupilNames">'[1]Data Entry Sheet'!$A$5:$A$99</definedName>
    <definedName name="AEAS_QuestionMaxMarks" localSheetId="3">[1]Setup!$B$11:$B$34</definedName>
    <definedName name="AEAS_QuestionMaxMarks">Setup!$B$11:$B$20</definedName>
    <definedName name="AEAS_TotalMarks">'[1]Data Entry Sheet'!$AB$4</definedName>
    <definedName name="PupilName" localSheetId="8">'Pupil Insight TEMPLATE'!$F$3</definedName>
    <definedName name="vChart1ShowPctMarks" localSheetId="3">'[1]AEAS Info'!$B$12</definedName>
    <definedName name="vChart1ShowPctMarks">'AEAS Info'!$B$12</definedName>
    <definedName name="vChart2ShowPctMarks" localSheetId="3">'[1]AEAS Info'!$B$13</definedName>
    <definedName name="vChart2ShowPctMarks">'AEAS Info'!$B$13</definedName>
    <definedName name="vCIS_CG_AP1ChartByGroupShowDiffFromAll">'AEAS Info'!$B$21</definedName>
    <definedName name="vCIS_CG_AP1ChartByPerspectiveShowDiffFromAll">'AEAS Info'!$B$22</definedName>
    <definedName name="vCIS_CG_AP2ChartByGroupShowDiffFromAll">'AEAS Info'!$B$23</definedName>
    <definedName name="vCIS_CG_AP2ChartByPerspectiveShowDiffFromAll">'AEAS Info'!$B$24</definedName>
    <definedName name="vCIS_ClassGroupAveragesChartShowDifferences">'AEAS Info'!$B$16</definedName>
    <definedName name="vCIS_VG_AP1ChartByGroupShowDiffFromAll">'AEAS Info'!$B$17</definedName>
    <definedName name="vCIS_VG_AP1ChartByPerspectiveShowDiffFromAll">'AEAS Info'!$B$18</definedName>
    <definedName name="vCIS_VG_AP2ChartByGroupShowDiffFromAll">'AEAS Info'!$B$19</definedName>
    <definedName name="vCIS_VG_AP2ChartByPerspectiveShowDiffFromAll">'AEAS Info'!$B$20</definedName>
    <definedName name="vHideAssessmentPerspective2Data">'AEAS Info'!$B$15</definedName>
    <definedName name="vIncludeCohortDataInCharts" localSheetId="3">'[1]AEAS Info'!$B$14</definedName>
    <definedName name="vIncludeCohortDataInCharts">'AEAS Info'!$B$14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86" l="1"/>
  <c r="B15" i="85" l="1"/>
  <c r="J6" i="6" l="1"/>
  <c r="V38" i="6" s="1"/>
  <c r="I6" i="6"/>
  <c r="K38" i="6" s="1"/>
  <c r="L4" i="6"/>
  <c r="M4" i="6" s="1"/>
  <c r="K4" i="6"/>
  <c r="F4" i="6"/>
  <c r="D1" i="6"/>
  <c r="B1" i="162"/>
  <c r="O4" i="6" l="1"/>
</calcChain>
</file>

<file path=xl/sharedStrings.xml><?xml version="1.0" encoding="utf-8"?>
<sst xmlns="http://schemas.openxmlformats.org/spreadsheetml/2006/main" count="310" uniqueCount="185">
  <si>
    <t xml:space="preserve"> Max mark</t>
  </si>
  <si>
    <t>%</t>
  </si>
  <si>
    <t>Col index</t>
  </si>
  <si>
    <t>% Max achieved</t>
  </si>
  <si>
    <t>% achieved</t>
  </si>
  <si>
    <t>Group</t>
  </si>
  <si>
    <t>Grade boundaries</t>
  </si>
  <si>
    <t>Grade:</t>
  </si>
  <si>
    <t>Cohort av mark</t>
  </si>
  <si>
    <t>Pupil</t>
  </si>
  <si>
    <t>Summary</t>
  </si>
  <si>
    <t>Instructions</t>
  </si>
  <si>
    <t>Grade / Level</t>
  </si>
  <si>
    <t>Student Name</t>
  </si>
  <si>
    <t>Marks available</t>
  </si>
  <si>
    <t>Marks achieved</t>
  </si>
  <si>
    <t>Update grade boundaries (% only)</t>
  </si>
  <si>
    <t>Cohort average in graph</t>
  </si>
  <si>
    <t>Group average in graph (ideal)</t>
  </si>
  <si>
    <t>Extend conditional formatting to all question rows in pupil insight</t>
  </si>
  <si>
    <t>Add conditional formatting to specification summary to identify target areas</t>
  </si>
  <si>
    <t>Task</t>
  </si>
  <si>
    <t>Priority</t>
  </si>
  <si>
    <t>Difficulty</t>
  </si>
  <si>
    <t>Easy</t>
  </si>
  <si>
    <t>Med</t>
  </si>
  <si>
    <t>Hard</t>
  </si>
  <si>
    <t>High</t>
  </si>
  <si>
    <t>Rename QuestionSpecificationSETUP sheet to Setup</t>
  </si>
  <si>
    <t>Pull in correct group for Pupil Insight sheet</t>
  </si>
  <si>
    <t>Done</t>
  </si>
  <si>
    <t>Y</t>
  </si>
  <si>
    <t>Class av mark</t>
  </si>
  <si>
    <t>Topic list in pupil insight summary needs to be sorted alphabetically</t>
  </si>
  <si>
    <t>Mark available</t>
  </si>
  <si>
    <t>Question reference</t>
  </si>
  <si>
    <t>Mark achieved</t>
  </si>
  <si>
    <t>Conditional formatting thresholds</t>
  </si>
  <si>
    <t>Specify what % of avaialble marks should trigger each colour band in the pupil insight sheet.</t>
  </si>
  <si>
    <t>&gt;= %</t>
  </si>
  <si>
    <t>colour</t>
  </si>
  <si>
    <t>Copy Specification refernce to question detail column if empty upon data sheet generation</t>
  </si>
  <si>
    <t>Low</t>
  </si>
  <si>
    <t>Extend total, % and grade column formulae to all pupil rows in DES</t>
  </si>
  <si>
    <t>Use two columns for student names in DES</t>
  </si>
  <si>
    <t>Add Freeze Panes to DES to assist viewing of data</t>
  </si>
  <si>
    <t>Add RESET button to fix issues caused by left over named ranges</t>
  </si>
  <si>
    <t>U</t>
  </si>
  <si>
    <t>Generate Pupil Insight Sheet not available until DES has been generated</t>
  </si>
  <si>
    <t>Columns in bar graph to be ordered alphanumerically</t>
  </si>
  <si>
    <t>Automated Exam Analysis Spreadsheet</t>
  </si>
  <si>
    <t>Version:</t>
  </si>
  <si>
    <t>Status:</t>
  </si>
  <si>
    <t>Got issues creating or recreating a Pupil Insight Sheet? Try this.</t>
  </si>
  <si>
    <t>Is this necessary? It will cause a lot of changes to be made</t>
  </si>
  <si>
    <t>N</t>
  </si>
  <si>
    <t>Add record number to exported pupil PDF filename to avoid overwriting duplicate pupil and group names</t>
  </si>
  <si>
    <t>Change PIS charts to show raw marks not %</t>
  </si>
  <si>
    <t>Add toggle to show % or raw</t>
  </si>
  <si>
    <t>Add toggle to show/hide class averages</t>
  </si>
  <si>
    <t>Chane chart toggle switch to showing comparative averages (not % vs Raw - keep % in table beneath)</t>
  </si>
  <si>
    <t>Graphs need to be proportionately sized by marks available</t>
  </si>
  <si>
    <t>Graph for each of the 2 columns (Spec Reference AND Question focus)</t>
  </si>
  <si>
    <t>Change spelling of 'achieved' on graph</t>
  </si>
  <si>
    <t>Data ENtry Sheet needs to pull down columns O-Q automatically</t>
  </si>
  <si>
    <t>How would we distribute these to students?</t>
  </si>
  <si>
    <t>Class av achieved</t>
  </si>
  <si>
    <t>Cohort av achieved</t>
  </si>
  <si>
    <t>Export PDFs will not work on Mac because export file dialogue cannot be opened - needs to default to workbook location on error on a Mac</t>
  </si>
  <si>
    <t>Export PDFs immediately printed on a Mac, not saved to PDF - FIX</t>
  </si>
  <si>
    <t>Add cohort overview sheet - cohort average for each topic, plus series for each group</t>
  </si>
  <si>
    <t>Exporting PDFs seems to move the PIS sheet order?</t>
  </si>
  <si>
    <t>I think this is fixed</t>
  </si>
  <si>
    <t>Unconfirmed</t>
  </si>
  <si>
    <t>Add points/% required to reach next mark in Pupil Insight Sheet</t>
  </si>
  <si>
    <t>Find slicker way of combining mulitple assessments - column for the assessment that the data has come from on setup page? Then change the assesment title area to just subject/year group</t>
  </si>
  <si>
    <t>Automated Exam Analysis Sheet (AEAS)</t>
  </si>
  <si>
    <t>1. Setting up the AEAS</t>
  </si>
  <si>
    <t>2. Data entry</t>
  </si>
  <si>
    <t>Help and feedback</t>
  </si>
  <si>
    <t>If you need any help using the AEAS, or if you have any feedback about issues that you encounter or ways that you feel the system could be improved please email Adam.</t>
  </si>
  <si>
    <t>Get started!</t>
  </si>
  <si>
    <t>Step 1:</t>
  </si>
  <si>
    <t>Step 2:</t>
  </si>
  <si>
    <t>Step3:</t>
  </si>
  <si>
    <t>Step 4:</t>
  </si>
  <si>
    <t>Perspective 1_1</t>
  </si>
  <si>
    <t>Perspective 1_2</t>
  </si>
  <si>
    <t>Perspective 1_3</t>
  </si>
  <si>
    <t>Perspective1_4</t>
  </si>
  <si>
    <t>Perspective 2_1</t>
  </si>
  <si>
    <t>Perspective 2_2</t>
  </si>
  <si>
    <t>Perspective 2_3</t>
  </si>
  <si>
    <t>Ref</t>
  </si>
  <si>
    <t>Assessment areas and perspectives</t>
  </si>
  <si>
    <t>Subject and Key Stage</t>
  </si>
  <si>
    <t>Add the subject and key stage, which will appear on pupil and summary analysis sheets.</t>
  </si>
  <si>
    <t>Add the % and mark boundary for each grade/level below, starting with the lowest (0%) and building up towards the highest grade. These grade boundaries will applied to all assessment data provided allowing you to clearly see performance in each assessment perspective across multiple assessments.  
You can add up to 27 grades/levels.</t>
  </si>
  <si>
    <r>
      <t xml:space="preserve">Assessment reference </t>
    </r>
    <r>
      <rPr>
        <i/>
        <sz val="11"/>
        <color theme="1"/>
        <rFont val="Calibri"/>
        <family val="2"/>
        <scheme val="minor"/>
      </rPr>
      <t>(max mark beneath)</t>
    </r>
  </si>
  <si>
    <t>Assessment focus</t>
  </si>
  <si>
    <t>Worksheet variables</t>
  </si>
  <si>
    <t>Identifier</t>
  </si>
  <si>
    <t>Value</t>
  </si>
  <si>
    <t>Scope</t>
  </si>
  <si>
    <t>PIS</t>
  </si>
  <si>
    <t>Assessment point description</t>
  </si>
  <si>
    <r>
      <t xml:space="preserve">Assessment point description
</t>
    </r>
    <r>
      <rPr>
        <sz val="11"/>
        <rFont val="Calibri"/>
        <family val="2"/>
        <scheme val="minor"/>
      </rPr>
      <t>(a reminder for students)</t>
    </r>
  </si>
  <si>
    <t>Q about ants</t>
  </si>
  <si>
    <t>Q about bees</t>
  </si>
  <si>
    <t>Q about dogs</t>
  </si>
  <si>
    <t>Q about elephants</t>
  </si>
  <si>
    <t>Q about foxes</t>
  </si>
  <si>
    <t>Q about hippos</t>
  </si>
  <si>
    <t>Q about iguanas</t>
  </si>
  <si>
    <t>Note</t>
  </si>
  <si>
    <t>If there are no entries in the "Assessment perspective 2" column in the Setup page this will become True. This value is checked when setting up the PIS to determine whether or not to includd the assessment perspective 2 chart and summary data.</t>
  </si>
  <si>
    <r>
      <t xml:space="preserve">Assessment perspective 2 </t>
    </r>
    <r>
      <rPr>
        <sz val="11"/>
        <rFont val="Calibri"/>
        <family val="2"/>
        <scheme val="minor"/>
      </rPr>
      <t>(optional)</t>
    </r>
  </si>
  <si>
    <t xml:space="preserve">Assessment perspective 1 </t>
  </si>
  <si>
    <t>Add the assessment reference (for example, the question number from a written assessment - e.g. 1, 2, 2a, 2.2, etc) and maximum mark for each part of the assessment and then the "assessment perspective" details from Row 11 onwards.  The assessment perspective is whatever is most helpful for your department and your students in terms of better understanding their progress and acquisition of knowledge within the subject. In many cases, at least one assessment perspective will be "Specification topic" whilst the other might be subject-specific skills that are evidenced across all topics, for example, "critical analysis", or "evaluating data." Pupils will receive visualisations showing the marks attained for each perspective.</t>
  </si>
  <si>
    <t>Replace with your subject and relevant key stage (e.g. French GCSE)</t>
  </si>
  <si>
    <t>vChart1ShowPctMarks</t>
  </si>
  <si>
    <t>vChart2ShowPctMarks</t>
  </si>
  <si>
    <t>vHideAssessmentPerspective2Data</t>
  </si>
  <si>
    <t>Tilt</t>
  </si>
  <si>
    <t>SEND</t>
  </si>
  <si>
    <t>Class group</t>
  </si>
  <si>
    <t>Pupil groups</t>
  </si>
  <si>
    <t>vIncludeCohortDataInCharts</t>
  </si>
  <si>
    <t>Other options</t>
  </si>
  <si>
    <t>You can use the controls below to configure various options within the AEAS. Well, at present, you can determine whether or not to include cohort and class average data within charts in the Pupil Insight Sheet. Other options might appear here in future!</t>
  </si>
  <si>
    <t>Here is a relevant article discussing the relative merits of letting students know how they compare to their peers</t>
  </si>
  <si>
    <t>© 2022 Adam Dimmick, Reading School</t>
  </si>
  <si>
    <t>Cohort insight</t>
  </si>
  <si>
    <t>All</t>
  </si>
  <si>
    <t>Boarders</t>
  </si>
  <si>
    <t>None</t>
  </si>
  <si>
    <t>Class groups</t>
  </si>
  <si>
    <t>Assessment Point Reference</t>
  </si>
  <si>
    <t>Maximum mark</t>
  </si>
  <si>
    <t>Group averages</t>
  </si>
  <si>
    <t>Assessment perspective links</t>
  </si>
  <si>
    <t>AP 1</t>
  </si>
  <si>
    <t>AP2</t>
  </si>
  <si>
    <t>Assessment Data required for Cohort Insight Sheet</t>
  </si>
  <si>
    <t>Do not alter the data or formulae in this sheet!</t>
  </si>
  <si>
    <t>Password for unlocking</t>
  </si>
  <si>
    <t>AEAS</t>
  </si>
  <si>
    <t>Enter desecription, e.g. "Specification area"</t>
  </si>
  <si>
    <t>Enter desecription, e.g. "Skill"</t>
  </si>
  <si>
    <t>Class Group averages (%)</t>
  </si>
  <si>
    <t>Not vulnerable</t>
  </si>
  <si>
    <t>Vulnerable Pupils Groups averages (%)</t>
  </si>
  <si>
    <t>Performance across whole assessment</t>
  </si>
  <si>
    <t>All students</t>
  </si>
  <si>
    <t>Vulnerable pupils</t>
  </si>
  <si>
    <t>diff</t>
  </si>
  <si>
    <t>Summary data</t>
  </si>
  <si>
    <t>Assessment point data</t>
  </si>
  <si>
    <t>vCIS_ClassGroupAveragesChartShowDifferences</t>
  </si>
  <si>
    <t>CIS</t>
  </si>
  <si>
    <t>vCIS_VG_AP1ChartByGroupShowDiffFromAll</t>
  </si>
  <si>
    <t>vCIS_VG_AP1ChartByPerspectiveShowDiffFromAll</t>
  </si>
  <si>
    <t>vCIS_CG_AP1ChartByGroupShowDiffFromAll</t>
  </si>
  <si>
    <t>vCIS_CG_AP1ChartByPerspectiveShowDiffFromAll</t>
  </si>
  <si>
    <t>VG</t>
  </si>
  <si>
    <t>CG</t>
  </si>
  <si>
    <t>vCIS_CG_AP2ChartByGroupShowDiffFromAll</t>
  </si>
  <si>
    <t>vCIS_VG_AP2ChartByGroupShowDiffFromAll</t>
  </si>
  <si>
    <t>vCIS_VG_AP2ChartByPerspectiveShowDiffFromAll</t>
  </si>
  <si>
    <t>vCIS_CG_AP2ChartByPerspectiveShowDiffFromAll</t>
  </si>
  <si>
    <t>Q about giraffes</t>
  </si>
  <si>
    <t>Q about caterpillars</t>
  </si>
  <si>
    <t>Q about lemurs</t>
  </si>
  <si>
    <t>Welcome to the AEAS! Using this tool is relatively simple, and can be broken down into four steps:</t>
  </si>
  <si>
    <t>This process involves adding details of each of the questions in your assessment including the marks available for each question and its links to your "assessment perspectives". You will also set the grades boundaries for the assessment in this stage.</t>
  </si>
  <si>
    <t>Once the setup data has been entered you can generate the Data Entry sheet and enter the student names and class groups for each of your class sets. To match the format of exported class lists from Bromcom, there is a single column for entering students' names. The Data entry sheet automatically contains columns for each of the questions in the assessment where you can enter the marks attained for each question (or part of a question) once your assessment has completed and students' work marked. You will also need to add details of students' vulnerability group membership (SEND, Tilt and Boarders) to enable the Vulnerabile Groups analysis.</t>
  </si>
  <si>
    <t>4. Analysing cohort performance by class groups and vulnerability groups</t>
  </si>
  <si>
    <t>In addition to analysing individual students' performance, you can gain insight into the performance across each assessment perspective for each vulnerabilit group (SEN, Tilt and Boarders) or each teaching (class) group across the whole cohort. These details can be found in the "Vulnerable Groups" and "Class Groups" tabs once you have generated the cohort insight sheets.</t>
  </si>
  <si>
    <t>Development version, added conditional formatting to Pupil Insight Sheet</t>
  </si>
  <si>
    <t>Pupil groups (K/B/T)</t>
  </si>
  <si>
    <t>Total</t>
  </si>
  <si>
    <t>Grade</t>
  </si>
  <si>
    <t>June 2024 Beta D</t>
  </si>
  <si>
    <t>3. Analysing student performance via the Pupil Insight and Data Summary sheets</t>
  </si>
  <si>
    <t>Once the question-level data has been entered you can generate the Pupil Insight and Data Summary sheets. The Pupil Insight sheet allows you to focus on each individual student that completed the assessment in order to gain a deeper understanding of their particular areas of strength and weakness. From here you can export PDF files for each individual student that can then be printed or distributed electronically to them. The Data Summary sheet provides an overview of each student's performance across each assessment perspective in a single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</si>
</sst>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4"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i/>
      <sz val="11"/>
      <color theme="1"/>
      <name val="Calibri"/>
      <family val="2"/>
      <scheme val="minor"/>
    </font>
    <font>
      <sz val="11"/>
      <color rgb="FF000000"/>
      <name val="Calibri"/>
      <family val="2"/>
    </font>
    <font>
      <sz val="14"/>
      <color theme="1"/>
      <name val="Calibri"/>
      <family val="2"/>
      <scheme val="minor"/>
    </font>
    <font>
      <u/>
      <sz val="18"/>
      <color theme="1"/>
      <name val="Calibri"/>
      <family val="2"/>
      <scheme val="minor"/>
    </font>
    <font>
      <sz val="22"/>
      <color theme="1"/>
      <name val="Calibri"/>
      <family val="2"/>
      <scheme val="minor"/>
    </font>
    <font>
      <b/>
      <sz val="14"/>
      <color theme="1"/>
      <name val="Calibri"/>
      <family val="2"/>
      <scheme val="minor"/>
    </font>
    <font>
      <b/>
      <sz val="20"/>
      <color theme="1"/>
      <name val="Calibri"/>
      <family val="2"/>
      <scheme val="minor"/>
    </font>
    <font>
      <b/>
      <sz val="11"/>
      <color theme="0"/>
      <name val="Calibri"/>
      <family val="2"/>
      <scheme val="minor"/>
    </font>
    <font>
      <sz val="11"/>
      <color theme="0"/>
      <name val="Calibri"/>
      <family val="2"/>
      <scheme val="minor"/>
    </font>
    <font>
      <sz val="12"/>
      <color rgb="FF000000"/>
      <name val="Calibri"/>
      <family val="2"/>
    </font>
    <font>
      <sz val="11"/>
      <name val="Calibri"/>
      <family val="2"/>
      <scheme val="minor"/>
    </font>
    <font>
      <b/>
      <sz val="20"/>
      <name val="Calibri"/>
      <family val="2"/>
      <scheme val="minor"/>
    </font>
    <font>
      <b/>
      <sz val="11"/>
      <name val="Calibri"/>
      <family val="2"/>
      <scheme val="minor"/>
    </font>
    <font>
      <i/>
      <sz val="12"/>
      <name val="Calibri"/>
      <family val="2"/>
      <scheme val="minor"/>
    </font>
    <font>
      <i/>
      <sz val="11"/>
      <name val="Calibri"/>
      <family val="2"/>
      <scheme val="minor"/>
    </font>
    <font>
      <sz val="10"/>
      <name val="Calibri"/>
      <family val="2"/>
      <scheme val="minor"/>
    </font>
    <font>
      <u/>
      <sz val="11"/>
      <color theme="10"/>
      <name val="Calibri"/>
      <family val="2"/>
      <scheme val="minor"/>
    </font>
    <font>
      <b/>
      <sz val="12"/>
      <color theme="1"/>
      <name val="Calibri"/>
      <family val="2"/>
      <scheme val="minor"/>
    </font>
    <font>
      <i/>
      <sz val="11"/>
      <color rgb="FFFF0000"/>
      <name val="Calibri"/>
      <family val="2"/>
      <scheme val="minor"/>
    </font>
    <font>
      <sz val="8"/>
      <color rgb="FF000000"/>
      <name val="Segoe UI"/>
      <family val="2"/>
    </font>
  </fonts>
  <fills count="18">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theme="6" tint="0.79995117038483843"/>
        <bgColor indexed="64"/>
      </patternFill>
    </fill>
    <fill>
      <patternFill patternType="solid">
        <fgColor theme="3" tint="-0.249977111117893"/>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FFC000"/>
        <bgColor indexed="64"/>
      </patternFill>
    </fill>
    <fill>
      <patternFill patternType="solid">
        <fgColor rgb="FFFF4C05"/>
        <bgColor indexed="64"/>
      </patternFill>
    </fill>
    <fill>
      <patternFill patternType="solid">
        <fgColor rgb="FFC00000"/>
        <bgColor indexed="64"/>
      </patternFill>
    </fill>
    <fill>
      <patternFill patternType="solid">
        <fgColor theme="7" tint="0.79998168889431442"/>
        <bgColor indexed="64"/>
      </patternFill>
    </fill>
    <fill>
      <patternFill patternType="solid">
        <fgColor rgb="FFFFB9B9"/>
        <bgColor indexed="64"/>
      </patternFill>
    </fill>
    <fill>
      <patternFill patternType="solid">
        <fgColor theme="8" tint="0.79998168889431442"/>
        <bgColor indexed="64"/>
      </patternFill>
    </fill>
    <fill>
      <patternFill patternType="solid">
        <fgColor theme="2"/>
        <bgColor indexed="64"/>
      </patternFill>
    </fill>
    <fill>
      <patternFill patternType="solid">
        <fgColor theme="3" tint="0.79998168889431442"/>
        <bgColor indexed="64"/>
      </patternFill>
    </fill>
    <fill>
      <patternFill patternType="solid">
        <fgColor theme="0" tint="-4.9989318521683403E-2"/>
        <bgColor indexed="64"/>
      </patternFill>
    </fill>
  </fills>
  <borders count="2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9" fontId="1" fillId="0" borderId="0" applyFont="0" applyFill="0" applyBorder="0" applyAlignment="0" applyProtection="0"/>
    <xf numFmtId="0" fontId="20" fillId="0" borderId="0" applyNumberFormat="0" applyFill="0" applyBorder="0" applyAlignment="0" applyProtection="0"/>
  </cellStyleXfs>
  <cellXfs count="148">
    <xf numFmtId="0" fontId="0" fillId="0" borderId="0" xfId="0"/>
    <xf numFmtId="0" fontId="3" fillId="0" borderId="0" xfId="0" applyFont="1"/>
    <xf numFmtId="0" fontId="0" fillId="0" borderId="0" xfId="0" applyAlignment="1">
      <alignment horizontal="center"/>
    </xf>
    <xf numFmtId="0" fontId="5" fillId="0" borderId="0" xfId="0" applyFont="1" applyAlignment="1">
      <alignment horizontal="center"/>
    </xf>
    <xf numFmtId="0" fontId="0" fillId="0" borderId="0" xfId="0" applyAlignment="1">
      <alignment horizontal="left"/>
    </xf>
    <xf numFmtId="0" fontId="0" fillId="0" borderId="0" xfId="0" applyAlignment="1">
      <alignment vertical="top"/>
    </xf>
    <xf numFmtId="9" fontId="0" fillId="0" borderId="0" xfId="1" applyFont="1" applyAlignment="1">
      <alignment horizontal="center"/>
    </xf>
    <xf numFmtId="0" fontId="6" fillId="2" borderId="1" xfId="0" applyFont="1" applyFill="1" applyBorder="1" applyAlignment="1">
      <alignment vertical="center"/>
    </xf>
    <xf numFmtId="0" fontId="6" fillId="2" borderId="2" xfId="0" applyFont="1" applyFill="1" applyBorder="1" applyAlignment="1">
      <alignment horizontal="center" vertical="center"/>
    </xf>
    <xf numFmtId="0" fontId="6" fillId="0" borderId="1" xfId="0" applyFont="1" applyBorder="1" applyAlignment="1">
      <alignment vertical="center"/>
    </xf>
    <xf numFmtId="0" fontId="6" fillId="2" borderId="3" xfId="0" applyFont="1" applyFill="1" applyBorder="1" applyAlignment="1">
      <alignment horizontal="center" vertical="center"/>
    </xf>
    <xf numFmtId="0" fontId="6" fillId="0" borderId="0" xfId="0" applyFont="1"/>
    <xf numFmtId="0" fontId="6" fillId="0" borderId="0" xfId="0" applyFont="1" applyAlignment="1">
      <alignment vertical="top"/>
    </xf>
    <xf numFmtId="0" fontId="9" fillId="0" borderId="0" xfId="0" applyFont="1"/>
    <xf numFmtId="0" fontId="10" fillId="0" borderId="0" xfId="0" applyFont="1"/>
    <xf numFmtId="9" fontId="0" fillId="0" borderId="0" xfId="1" applyFont="1"/>
    <xf numFmtId="0" fontId="3" fillId="3" borderId="5" xfId="0" applyFont="1" applyFill="1" applyBorder="1" applyAlignment="1">
      <alignment horizontal="center"/>
    </xf>
    <xf numFmtId="0" fontId="3" fillId="3" borderId="6" xfId="0" applyFont="1" applyFill="1" applyBorder="1" applyAlignment="1">
      <alignment horizontal="center"/>
    </xf>
    <xf numFmtId="9" fontId="0" fillId="0" borderId="7" xfId="1" applyFont="1" applyBorder="1" applyAlignment="1">
      <alignment horizontal="center"/>
    </xf>
    <xf numFmtId="0" fontId="0" fillId="0" borderId="8" xfId="0" applyBorder="1" applyAlignment="1">
      <alignment horizontal="center"/>
    </xf>
    <xf numFmtId="0" fontId="0" fillId="0" borderId="7" xfId="0" applyBorder="1" applyAlignment="1">
      <alignment horizontal="center"/>
    </xf>
    <xf numFmtId="0" fontId="0" fillId="0" borderId="7" xfId="0" applyBorder="1"/>
    <xf numFmtId="0" fontId="0" fillId="0" borderId="8" xfId="0" applyBorder="1"/>
    <xf numFmtId="0" fontId="0" fillId="0" borderId="9" xfId="0" applyBorder="1"/>
    <xf numFmtId="0" fontId="0" fillId="0" borderId="10" xfId="0" applyBorder="1"/>
    <xf numFmtId="9" fontId="0" fillId="0" borderId="0" xfId="1" applyFont="1" applyAlignment="1">
      <alignment vertical="top"/>
    </xf>
    <xf numFmtId="2" fontId="0" fillId="0" borderId="0" xfId="0" applyNumberFormat="1" applyAlignment="1">
      <alignment horizontal="left"/>
    </xf>
    <xf numFmtId="2" fontId="6" fillId="0" borderId="0" xfId="0" applyNumberFormat="1" applyFont="1"/>
    <xf numFmtId="2" fontId="0" fillId="0" borderId="0" xfId="0" applyNumberFormat="1"/>
    <xf numFmtId="0" fontId="2" fillId="0" borderId="0" xfId="0" applyFont="1"/>
    <xf numFmtId="0" fontId="12" fillId="5" borderId="0" xfId="0" applyFont="1" applyFill="1"/>
    <xf numFmtId="0" fontId="12" fillId="6" borderId="0" xfId="0" applyFont="1" applyFill="1"/>
    <xf numFmtId="0" fontId="12" fillId="5" borderId="0" xfId="0" applyFont="1" applyFill="1" applyAlignment="1">
      <alignment horizontal="center" wrapText="1"/>
    </xf>
    <xf numFmtId="0" fontId="11" fillId="5" borderId="0" xfId="0" applyFont="1" applyFill="1" applyAlignment="1">
      <alignment horizontal="center" wrapText="1"/>
    </xf>
    <xf numFmtId="2" fontId="11" fillId="5" borderId="0" xfId="0" applyNumberFormat="1" applyFont="1" applyFill="1" applyAlignment="1">
      <alignment horizontal="center" wrapText="1"/>
    </xf>
    <xf numFmtId="9" fontId="12" fillId="5" borderId="0" xfId="1" applyFont="1" applyFill="1"/>
    <xf numFmtId="0" fontId="0" fillId="4" borderId="0" xfId="0" applyFill="1" applyAlignment="1">
      <alignment horizontal="center"/>
    </xf>
    <xf numFmtId="0" fontId="0" fillId="4" borderId="4" xfId="0" applyFill="1" applyBorder="1" applyAlignment="1">
      <alignment horizontal="center"/>
    </xf>
    <xf numFmtId="0" fontId="0" fillId="4" borderId="0" xfId="0" applyFill="1"/>
    <xf numFmtId="0" fontId="12" fillId="7" borderId="8" xfId="0" applyFont="1" applyFill="1" applyBorder="1"/>
    <xf numFmtId="0" fontId="0" fillId="8" borderId="8" xfId="0" applyFill="1" applyBorder="1"/>
    <xf numFmtId="0" fontId="0" fillId="9" borderId="8" xfId="0" applyFill="1" applyBorder="1"/>
    <xf numFmtId="0" fontId="0" fillId="10" borderId="8" xfId="0" applyFill="1" applyBorder="1"/>
    <xf numFmtId="9" fontId="0" fillId="0" borderId="9" xfId="1" applyFont="1" applyBorder="1" applyAlignment="1">
      <alignment horizontal="center"/>
    </xf>
    <xf numFmtId="0" fontId="0" fillId="11" borderId="10" xfId="0" applyFill="1" applyBorder="1"/>
    <xf numFmtId="0" fontId="8" fillId="0" borderId="0" xfId="0" applyFont="1" applyAlignment="1">
      <alignment vertical="center"/>
    </xf>
    <xf numFmtId="17" fontId="0" fillId="0" borderId="0" xfId="0" applyNumberFormat="1"/>
    <xf numFmtId="0" fontId="0" fillId="13" borderId="11" xfId="0" applyFill="1" applyBorder="1"/>
    <xf numFmtId="0" fontId="0" fillId="13" borderId="12" xfId="0" applyFill="1" applyBorder="1"/>
    <xf numFmtId="0" fontId="0" fillId="13" borderId="13" xfId="0" applyFill="1" applyBorder="1"/>
    <xf numFmtId="0" fontId="0" fillId="13" borderId="14" xfId="0" applyFill="1" applyBorder="1"/>
    <xf numFmtId="0" fontId="0" fillId="13" borderId="0" xfId="0" applyFill="1"/>
    <xf numFmtId="0" fontId="0" fillId="13" borderId="15" xfId="0" applyFill="1" applyBorder="1"/>
    <xf numFmtId="0" fontId="0" fillId="13" borderId="16" xfId="0" applyFill="1" applyBorder="1"/>
    <xf numFmtId="0" fontId="0" fillId="13" borderId="17" xfId="0" applyFill="1" applyBorder="1"/>
    <xf numFmtId="0" fontId="0" fillId="13" borderId="18" xfId="0" applyFill="1" applyBorder="1"/>
    <xf numFmtId="0" fontId="3" fillId="12" borderId="0" xfId="0" applyFont="1" applyFill="1"/>
    <xf numFmtId="0" fontId="0" fillId="12" borderId="0" xfId="0" applyFill="1"/>
    <xf numFmtId="0" fontId="13" fillId="0" borderId="0" xfId="0" applyFont="1" applyAlignment="1">
      <alignment horizontal="left" vertical="center" wrapText="1" indent="1"/>
    </xf>
    <xf numFmtId="164" fontId="0" fillId="0" borderId="0" xfId="1" applyNumberFormat="1" applyFont="1" applyAlignment="1">
      <alignment vertical="top"/>
    </xf>
    <xf numFmtId="164" fontId="0" fillId="0" borderId="0" xfId="1" applyNumberFormat="1" applyFont="1"/>
    <xf numFmtId="164" fontId="12" fillId="5" borderId="0" xfId="1" applyNumberFormat="1" applyFont="1" applyFill="1"/>
    <xf numFmtId="0" fontId="14" fillId="0" borderId="0" xfId="0" applyFont="1" applyAlignment="1">
      <alignment horizontal="center"/>
    </xf>
    <xf numFmtId="0" fontId="0" fillId="0" borderId="0" xfId="0" applyAlignment="1">
      <alignment wrapText="1"/>
    </xf>
    <xf numFmtId="0" fontId="15" fillId="0" borderId="0" xfId="0" applyFont="1"/>
    <xf numFmtId="0" fontId="14" fillId="0" borderId="0" xfId="0" applyFont="1"/>
    <xf numFmtId="0" fontId="16" fillId="0" borderId="0" xfId="0" applyFont="1"/>
    <xf numFmtId="0" fontId="14" fillId="0" borderId="0" xfId="0" applyFont="1" applyAlignment="1">
      <alignment horizontal="left"/>
    </xf>
    <xf numFmtId="0" fontId="18" fillId="0" borderId="0" xfId="0" applyFont="1" applyAlignment="1">
      <alignment horizontal="left"/>
    </xf>
    <xf numFmtId="1" fontId="14" fillId="0" borderId="0" xfId="0" applyNumberFormat="1" applyFont="1" applyAlignment="1">
      <alignment horizontal="center"/>
    </xf>
    <xf numFmtId="1" fontId="19" fillId="0" borderId="0" xfId="0" applyNumberFormat="1" applyFont="1" applyAlignment="1">
      <alignment horizontal="center"/>
    </xf>
    <xf numFmtId="0" fontId="0" fillId="3" borderId="5" xfId="0" applyFill="1" applyBorder="1"/>
    <xf numFmtId="0" fontId="0" fillId="3" borderId="19"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0" fillId="3" borderId="4" xfId="0" applyFill="1" applyBorder="1"/>
    <xf numFmtId="0" fontId="0" fillId="3" borderId="10" xfId="0" applyFill="1" applyBorder="1"/>
    <xf numFmtId="0" fontId="16" fillId="3" borderId="20" xfId="0" applyFont="1" applyFill="1" applyBorder="1" applyAlignment="1">
      <alignment horizontal="left"/>
    </xf>
    <xf numFmtId="9" fontId="6" fillId="2" borderId="3" xfId="1" applyFont="1" applyFill="1" applyBorder="1" applyAlignment="1">
      <alignment horizontal="left" vertical="center"/>
    </xf>
    <xf numFmtId="0" fontId="12" fillId="6" borderId="0" xfId="0" applyFont="1" applyFill="1" applyAlignment="1">
      <alignment horizontal="center" wrapText="1"/>
    </xf>
    <xf numFmtId="9" fontId="12" fillId="6" borderId="0" xfId="1" applyFont="1" applyFill="1" applyAlignment="1">
      <alignment horizontal="center" wrapText="1"/>
    </xf>
    <xf numFmtId="164" fontId="12" fillId="6" borderId="0" xfId="1" applyNumberFormat="1" applyFont="1" applyFill="1" applyAlignment="1">
      <alignment horizontal="center" wrapText="1"/>
    </xf>
    <xf numFmtId="0" fontId="18" fillId="14" borderId="20" xfId="0" applyFont="1" applyFill="1" applyBorder="1" applyAlignment="1">
      <alignment horizontal="left" wrapText="1"/>
    </xf>
    <xf numFmtId="0" fontId="0" fillId="15" borderId="0" xfId="0" applyFill="1" applyAlignment="1">
      <alignment horizontal="center"/>
    </xf>
    <xf numFmtId="1" fontId="14" fillId="0" borderId="0" xfId="0" applyNumberFormat="1" applyFont="1" applyAlignment="1">
      <alignment horizontal="left"/>
    </xf>
    <xf numFmtId="1" fontId="19" fillId="0" borderId="0" xfId="0" applyNumberFormat="1" applyFont="1" applyAlignment="1">
      <alignment horizontal="left"/>
    </xf>
    <xf numFmtId="0" fontId="20" fillId="0" borderId="0" xfId="2"/>
    <xf numFmtId="0" fontId="21" fillId="0" borderId="0" xfId="0" applyFont="1" applyAlignment="1">
      <alignment horizontal="left"/>
    </xf>
    <xf numFmtId="0" fontId="22" fillId="0" borderId="0" xfId="0" applyFont="1" applyAlignment="1">
      <alignment horizontal="left"/>
    </xf>
    <xf numFmtId="0" fontId="0" fillId="0" borderId="0" xfId="0" applyAlignment="1">
      <alignment vertical="center"/>
    </xf>
    <xf numFmtId="9" fontId="0" fillId="17" borderId="0" xfId="1" applyFont="1" applyFill="1"/>
    <xf numFmtId="9" fontId="9" fillId="16" borderId="0" xfId="1" applyFont="1" applyFill="1"/>
    <xf numFmtId="9" fontId="0" fillId="17" borderId="0" xfId="1" applyFont="1" applyFill="1" applyAlignment="1">
      <alignment horizontal="center"/>
    </xf>
    <xf numFmtId="9" fontId="0" fillId="16" borderId="0" xfId="1" applyFont="1" applyFill="1" applyAlignment="1">
      <alignment horizontal="center"/>
    </xf>
    <xf numFmtId="9" fontId="0" fillId="0" borderId="0" xfId="1" applyFont="1" applyAlignment="1">
      <alignment horizontal="left" vertical="top"/>
    </xf>
    <xf numFmtId="9" fontId="8" fillId="0" borderId="0" xfId="1" applyFont="1" applyAlignment="1">
      <alignment horizontal="left" vertical="top"/>
    </xf>
    <xf numFmtId="9" fontId="0" fillId="0" borderId="0" xfId="1" applyFont="1" applyFill="1" applyBorder="1" applyAlignment="1">
      <alignment wrapText="1"/>
    </xf>
    <xf numFmtId="9" fontId="0" fillId="0" borderId="0" xfId="1" applyFont="1" applyFill="1" applyBorder="1"/>
    <xf numFmtId="9" fontId="0" fillId="0" borderId="0" xfId="1" applyFont="1" applyFill="1" applyBorder="1" applyAlignment="1">
      <alignment horizontal="center"/>
    </xf>
    <xf numFmtId="9" fontId="3" fillId="0" borderId="0" xfId="1" applyFont="1" applyFill="1" applyBorder="1" applyAlignment="1">
      <alignment horizontal="left"/>
    </xf>
    <xf numFmtId="9" fontId="0" fillId="0" borderId="0" xfId="1" applyFont="1" applyFill="1" applyBorder="1" applyAlignment="1">
      <alignment horizontal="center" wrapText="1"/>
    </xf>
    <xf numFmtId="0" fontId="0" fillId="0" borderId="0" xfId="0" applyAlignment="1">
      <alignment horizontal="left" wrapText="1"/>
    </xf>
    <xf numFmtId="0" fontId="3" fillId="0" borderId="0" xfId="0" applyFont="1" applyAlignment="1">
      <alignment horizontal="left" wrapText="1"/>
    </xf>
    <xf numFmtId="2" fontId="11" fillId="5" borderId="0" xfId="0" applyNumberFormat="1" applyFont="1" applyFill="1" applyAlignment="1">
      <alignment wrapText="1"/>
    </xf>
    <xf numFmtId="0" fontId="11" fillId="5" borderId="0" xfId="0" applyFont="1" applyFill="1" applyAlignment="1">
      <alignment wrapText="1"/>
    </xf>
    <xf numFmtId="0" fontId="0" fillId="0" borderId="0" xfId="0" applyAlignment="1">
      <alignment horizontal="center" vertical="center"/>
    </xf>
    <xf numFmtId="1" fontId="0" fillId="0" borderId="0" xfId="0" applyNumberFormat="1" applyAlignment="1">
      <alignment horizontal="center" vertical="center"/>
    </xf>
    <xf numFmtId="10" fontId="0" fillId="0" borderId="0" xfId="1" applyNumberFormat="1" applyFont="1" applyAlignment="1">
      <alignment horizontal="center" vertical="center"/>
    </xf>
    <xf numFmtId="164" fontId="4" fillId="0" borderId="0" xfId="1" applyNumberFormat="1" applyFont="1" applyAlignment="1">
      <alignment horizontal="center" vertical="center"/>
    </xf>
    <xf numFmtId="10" fontId="0" fillId="0" borderId="0" xfId="0" applyNumberFormat="1" applyAlignment="1">
      <alignment horizontal="center" vertical="center"/>
    </xf>
    <xf numFmtId="164" fontId="4" fillId="0" borderId="0" xfId="0" applyNumberFormat="1" applyFont="1" applyAlignment="1">
      <alignment horizontal="center" vertical="center"/>
    </xf>
    <xf numFmtId="164" fontId="1" fillId="0" borderId="0" xfId="1" applyNumberFormat="1" applyFont="1" applyAlignment="1">
      <alignment horizontal="left" vertical="center"/>
    </xf>
    <xf numFmtId="0" fontId="0" fillId="0" borderId="0" xfId="0" applyAlignment="1">
      <alignment horizontal="left" vertical="center"/>
    </xf>
    <xf numFmtId="164" fontId="0" fillId="0" borderId="0" xfId="0" applyNumberFormat="1" applyAlignment="1">
      <alignment horizontal="left" vertical="center"/>
    </xf>
    <xf numFmtId="0" fontId="0" fillId="0" borderId="0" xfId="0" applyAlignment="1">
      <alignment horizontal="left" wrapText="1"/>
    </xf>
    <xf numFmtId="0" fontId="0" fillId="0" borderId="0" xfId="0" applyAlignment="1">
      <alignment horizontal="left" vertical="top" wrapText="1"/>
    </xf>
    <xf numFmtId="0" fontId="17" fillId="12" borderId="1" xfId="0" applyFont="1" applyFill="1" applyBorder="1" applyAlignment="1">
      <alignment horizontal="left" vertical="center"/>
    </xf>
    <xf numFmtId="0" fontId="17" fillId="12" borderId="2" xfId="0" applyFont="1" applyFill="1" applyBorder="1" applyAlignment="1">
      <alignment horizontal="left" vertical="center"/>
    </xf>
    <xf numFmtId="0" fontId="17" fillId="12" borderId="3" xfId="0" applyFont="1" applyFill="1" applyBorder="1" applyAlignment="1">
      <alignment horizontal="left" vertical="center"/>
    </xf>
    <xf numFmtId="0" fontId="16" fillId="3" borderId="20" xfId="0" applyFont="1" applyFill="1" applyBorder="1" applyAlignment="1">
      <alignment horizontal="center"/>
    </xf>
    <xf numFmtId="0" fontId="14" fillId="0" borderId="0" xfId="0" applyFont="1" applyAlignment="1">
      <alignment horizontal="left" wrapText="1"/>
    </xf>
    <xf numFmtId="0" fontId="16" fillId="3" borderId="21" xfId="0" applyFont="1" applyFill="1" applyBorder="1" applyAlignment="1">
      <alignment horizontal="left" wrapText="1"/>
    </xf>
    <xf numFmtId="0" fontId="16" fillId="3" borderId="22" xfId="0" applyFont="1" applyFill="1" applyBorder="1" applyAlignment="1">
      <alignment horizontal="left"/>
    </xf>
    <xf numFmtId="0" fontId="0" fillId="0" borderId="0" xfId="0" applyAlignment="1">
      <alignment horizontal="center" wrapText="1"/>
    </xf>
    <xf numFmtId="0" fontId="0" fillId="0" borderId="0" xfId="0"/>
    <xf numFmtId="0" fontId="0" fillId="4" borderId="0" xfId="0" applyFill="1" applyAlignment="1">
      <alignment horizontal="center" wrapText="1"/>
    </xf>
    <xf numFmtId="0" fontId="0" fillId="4" borderId="4" xfId="0" applyFill="1" applyBorder="1" applyAlignment="1">
      <alignment horizontal="center" wrapText="1"/>
    </xf>
    <xf numFmtId="0" fontId="0" fillId="4" borderId="0" xfId="0" applyFill="1" applyAlignment="1">
      <alignment horizontal="left"/>
    </xf>
    <xf numFmtId="0" fontId="0" fillId="4" borderId="4" xfId="0" applyFill="1" applyBorder="1" applyAlignment="1">
      <alignment horizontal="left"/>
    </xf>
    <xf numFmtId="0" fontId="12" fillId="6" borderId="0" xfId="0" applyFont="1" applyFill="1" applyAlignment="1">
      <alignment horizontal="left"/>
    </xf>
    <xf numFmtId="0" fontId="7" fillId="0" borderId="0" xfId="0" applyFont="1" applyAlignment="1">
      <alignment horizontal="left"/>
    </xf>
    <xf numFmtId="0" fontId="0" fillId="15" borderId="0" xfId="0" applyFill="1" applyAlignment="1">
      <alignment horizontal="left"/>
    </xf>
    <xf numFmtId="0" fontId="0" fillId="15" borderId="0" xfId="0" applyFill="1" applyAlignment="1">
      <alignment horizontal="center" wrapText="1"/>
    </xf>
    <xf numFmtId="1" fontId="0" fillId="15" borderId="0" xfId="0" applyNumberFormat="1" applyFill="1" applyAlignment="1">
      <alignment horizontal="center"/>
    </xf>
    <xf numFmtId="165" fontId="0" fillId="15" borderId="0" xfId="0" applyNumberFormat="1" applyFill="1" applyAlignment="1">
      <alignment horizontal="left"/>
    </xf>
    <xf numFmtId="0" fontId="0" fillId="15" borderId="0" xfId="0" applyFill="1" applyAlignment="1">
      <alignment horizontal="left"/>
    </xf>
    <xf numFmtId="0" fontId="0" fillId="15" borderId="4" xfId="0" applyFill="1" applyBorder="1" applyAlignment="1">
      <alignment horizontal="left"/>
    </xf>
    <xf numFmtId="0" fontId="0" fillId="15" borderId="4" xfId="0" applyFill="1" applyBorder="1" applyAlignment="1">
      <alignment horizontal="center" wrapText="1"/>
    </xf>
    <xf numFmtId="1" fontId="0" fillId="15" borderId="4" xfId="0" applyNumberFormat="1" applyFill="1" applyBorder="1" applyAlignment="1">
      <alignment horizontal="center"/>
    </xf>
    <xf numFmtId="165" fontId="0" fillId="15" borderId="4" xfId="0" applyNumberFormat="1" applyFill="1" applyBorder="1" applyAlignment="1">
      <alignment horizontal="center"/>
    </xf>
    <xf numFmtId="0" fontId="0" fillId="15" borderId="4" xfId="0" applyFill="1" applyBorder="1" applyAlignment="1">
      <alignment horizontal="center"/>
    </xf>
    <xf numFmtId="1" fontId="0" fillId="0" borderId="0" xfId="0" applyNumberFormat="1" applyAlignment="1">
      <alignment horizontal="center"/>
    </xf>
    <xf numFmtId="165" fontId="0" fillId="0" borderId="0" xfId="0" applyNumberFormat="1" applyAlignment="1">
      <alignment horizontal="center"/>
    </xf>
    <xf numFmtId="0" fontId="0" fillId="3" borderId="0" xfId="0" applyFill="1" applyBorder="1"/>
    <xf numFmtId="0" fontId="9" fillId="3" borderId="0" xfId="0" applyFont="1" applyFill="1" applyBorder="1" applyAlignment="1">
      <alignment horizontal="left"/>
    </xf>
    <xf numFmtId="0" fontId="0" fillId="0" borderId="0" xfId="0" applyFill="1" applyBorder="1"/>
  </cellXfs>
  <cellStyles count="3">
    <cellStyle name="Hyperlink" xfId="2" builtinId="8"/>
    <cellStyle name="Normal" xfId="0" builtinId="0"/>
    <cellStyle name="Percent" xfId="1" builtinId="5"/>
  </cellStyles>
  <dxfs count="15">
    <dxf>
      <font>
        <color theme="0"/>
      </font>
      <fill>
        <patternFill>
          <bgColor rgb="FFC00000"/>
        </patternFill>
      </fill>
    </dxf>
    <dxf>
      <font>
        <color theme="0"/>
      </font>
      <fill>
        <patternFill>
          <bgColor rgb="FFF94C07"/>
        </patternFill>
      </fill>
    </dxf>
    <dxf>
      <fill>
        <patternFill>
          <bgColor theme="7" tint="0.39994506668294322"/>
        </patternFill>
      </fill>
    </dxf>
    <dxf>
      <fill>
        <patternFill>
          <bgColor theme="9" tint="0.59996337778862885"/>
        </patternFill>
      </fill>
    </dxf>
    <dxf>
      <font>
        <color theme="0"/>
      </font>
      <fill>
        <patternFill>
          <bgColor theme="9" tint="-0.24994659260841701"/>
        </patternFill>
      </fill>
    </dxf>
    <dxf>
      <font>
        <color theme="0"/>
      </font>
      <fill>
        <patternFill>
          <bgColor rgb="FFC00000"/>
        </patternFill>
      </fill>
    </dxf>
    <dxf>
      <font>
        <color theme="0"/>
      </font>
      <fill>
        <patternFill>
          <bgColor rgb="FFF94C07"/>
        </patternFill>
      </fill>
    </dxf>
    <dxf>
      <fill>
        <patternFill>
          <bgColor theme="7" tint="0.39994506668294322"/>
        </patternFill>
      </fill>
    </dxf>
    <dxf>
      <fill>
        <patternFill>
          <bgColor theme="9" tint="0.59996337778862885"/>
        </patternFill>
      </fill>
    </dxf>
    <dxf>
      <font>
        <color theme="0"/>
      </font>
      <fill>
        <patternFill>
          <bgColor theme="9" tint="-0.24994659260841701"/>
        </patternFill>
      </fill>
    </dxf>
    <dxf>
      <font>
        <color theme="0"/>
      </font>
      <fill>
        <patternFill>
          <bgColor rgb="FFC00000"/>
        </patternFill>
      </fill>
    </dxf>
    <dxf>
      <font>
        <color theme="0"/>
      </font>
      <fill>
        <patternFill>
          <bgColor rgb="FFFF4C05"/>
        </patternFill>
      </fill>
    </dxf>
    <dxf>
      <fill>
        <patternFill>
          <bgColor theme="7" tint="0.39994506668294322"/>
        </patternFill>
      </fill>
    </dxf>
    <dxf>
      <fill>
        <patternFill>
          <bgColor theme="9" tint="0.59996337778862885"/>
        </patternFill>
      </fill>
    </dxf>
    <dxf>
      <font>
        <color theme="0"/>
      </font>
      <fill>
        <patternFill>
          <bgColor theme="9"/>
        </patternFill>
      </fill>
    </dxf>
  </dxfs>
  <tableStyles count="0" defaultTableStyle="TableStyleMedium2" defaultPivotStyle="PivotStyleLight16"/>
  <colors>
    <mruColors>
      <color rgb="FFF94C07"/>
      <color rgb="FFFF4C05"/>
      <color rgb="FFFFB9B9"/>
      <color rgb="FFFF3300"/>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cap="all" baseline="0"/>
              <a:t>marks achiEved by Assessment PERSPECTIVE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'Pupil Insight TEMPLATE'!$F$3</c:f>
              <c:strCache>
                <c:ptCount val="1"/>
              </c:strCache>
            </c:strRef>
          </c:tx>
          <c:spPr>
            <a:solidFill>
              <a:schemeClr val="accent1"/>
            </a:solidFill>
            <a:ln>
              <a:noFill/>
            </a:ln>
            <a:effectLst/>
          </c:spPr>
          <c:invertIfNegative val="0"/>
          <c:val>
            <c:numRef>
              <c:f>'Pupil Insight TEMPLATE'!$N$37:$N$41</c:f>
              <c:numCache>
                <c:formatCode>General</c:formatCode>
                <c:ptCount val="5"/>
              </c:numCache>
            </c:numRef>
          </c:val>
          <c:extLst>
            <c:ext xmlns:c15="http://schemas.microsoft.com/office/drawing/2012/chart" uri="{02D57815-91ED-43cb-92C2-25804820EDAC}">
              <c15:filteredCategoryTitle>
                <c15:cat>
                  <c:numRef>
                    <c:extLst>
                      <c:ext uri="{02D57815-91ED-43cb-92C2-25804820EDAC}">
                        <c15:formulaRef>
                          <c15:sqref>'Pupil Insight TEMPLATE'!$I$37:$I$41</c15:sqref>
                        </c15:formulaRef>
                      </c:ext>
                    </c:extLst>
                    <c:numCache>
                      <c:formatCode>General</c:formatCode>
                      <c:ptCount val="5"/>
                    </c:numCache>
                  </c:numRef>
                </c15:cat>
              </c15:filteredCategoryTitle>
            </c:ext>
            <c:ext xmlns:c16="http://schemas.microsoft.com/office/drawing/2014/chart" uri="{C3380CC4-5D6E-409C-BE32-E72D297353CC}">
              <c16:uniqueId val="{00000000-DDCD-4D0E-88F0-F53AF5394904}"/>
            </c:ext>
          </c:extLst>
        </c:ser>
        <c:ser>
          <c:idx val="2"/>
          <c:order val="1"/>
          <c:tx>
            <c:v>Class average</c:v>
          </c:tx>
          <c:spPr>
            <a:solidFill>
              <a:schemeClr val="accent1">
                <a:lumMod val="20000"/>
                <a:lumOff val="80000"/>
              </a:schemeClr>
            </a:solidFill>
            <a:ln>
              <a:noFill/>
            </a:ln>
            <a:effectLst/>
          </c:spPr>
          <c:invertIfNegative val="0"/>
          <c:val>
            <c:numLit>
              <c:formatCode>General</c:formatCode>
              <c:ptCount val="1"/>
              <c:pt idx="0">
                <c:v>1</c:v>
              </c:pt>
            </c:numLit>
          </c:val>
          <c:extLst>
            <c:ext xmlns:c16="http://schemas.microsoft.com/office/drawing/2014/chart" uri="{C3380CC4-5D6E-409C-BE32-E72D297353CC}">
              <c16:uniqueId val="{00000001-B273-4541-A3DE-12E3D9C0C1CC}"/>
            </c:ext>
          </c:extLst>
        </c:ser>
        <c:dLbls>
          <c:showLegendKey val="0"/>
          <c:showVal val="0"/>
          <c:showCatName val="0"/>
          <c:showSerName val="0"/>
          <c:showPercent val="0"/>
          <c:showBubbleSize val="0"/>
        </c:dLbls>
        <c:gapWidth val="219"/>
        <c:overlap val="-27"/>
        <c:axId val="1415199264"/>
        <c:axId val="1287506416"/>
      </c:barChart>
      <c:catAx>
        <c:axId val="14151992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Topic</a:t>
                </a:r>
                <a:r>
                  <a:rPr lang="en-GB" i="1" baseline="0"/>
                  <a:t> area</a:t>
                </a:r>
                <a:endParaRPr lang="en-GB" i="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506416"/>
        <c:crosses val="autoZero"/>
        <c:auto val="1"/>
        <c:lblAlgn val="ctr"/>
        <c:lblOffset val="100"/>
        <c:noMultiLvlLbl val="0"/>
      </c:catAx>
      <c:valAx>
        <c:axId val="1287506416"/>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Available</a:t>
                </a:r>
                <a:r>
                  <a:rPr lang="en-GB" i="1" baseline="0"/>
                  <a:t> marks achieved</a:t>
                </a:r>
                <a:endParaRPr lang="en-GB" i="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5199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cap="all" baseline="0"/>
              <a:t>marks achiEved by Assessment PERSPECTIVE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'Pupil Insight TEMPLATE'!$F$3</c:f>
              <c:strCache>
                <c:ptCount val="1"/>
              </c:strCache>
            </c:strRef>
          </c:tx>
          <c:spPr>
            <a:solidFill>
              <a:schemeClr val="accent1"/>
            </a:solidFill>
            <a:ln>
              <a:noFill/>
            </a:ln>
            <a:effectLst/>
          </c:spPr>
          <c:invertIfNegative val="0"/>
          <c:val>
            <c:numRef>
              <c:f>'Pupil Insight TEMPLATE'!$N$37:$N$41</c:f>
              <c:numCache>
                <c:formatCode>General</c:formatCode>
                <c:ptCount val="5"/>
              </c:numCache>
            </c:numRef>
          </c:val>
          <c:extLst>
            <c:ext xmlns:c15="http://schemas.microsoft.com/office/drawing/2012/chart" uri="{02D57815-91ED-43cb-92C2-25804820EDAC}">
              <c15:filteredCategoryTitle>
                <c15:cat>
                  <c:numRef>
                    <c:extLst>
                      <c:ext uri="{02D57815-91ED-43cb-92C2-25804820EDAC}">
                        <c15:formulaRef>
                          <c15:sqref>'Pupil Insight TEMPLATE'!$I$37:$I$41</c15:sqref>
                        </c15:formulaRef>
                      </c:ext>
                    </c:extLst>
                    <c:numCache>
                      <c:formatCode>General</c:formatCode>
                      <c:ptCount val="5"/>
                    </c:numCache>
                  </c:numRef>
                </c15:cat>
              </c15:filteredCategoryTitle>
            </c:ext>
            <c:ext xmlns:c16="http://schemas.microsoft.com/office/drawing/2014/chart" uri="{C3380CC4-5D6E-409C-BE32-E72D297353CC}">
              <c16:uniqueId val="{00000000-DDCD-4D0E-88F0-F53AF5394904}"/>
            </c:ext>
          </c:extLst>
        </c:ser>
        <c:ser>
          <c:idx val="2"/>
          <c:order val="1"/>
          <c:tx>
            <c:v>Class average</c:v>
          </c:tx>
          <c:spPr>
            <a:solidFill>
              <a:schemeClr val="accent1">
                <a:lumMod val="20000"/>
                <a:lumOff val="80000"/>
              </a:schemeClr>
            </a:solidFill>
            <a:ln>
              <a:noFill/>
            </a:ln>
            <a:effectLst/>
          </c:spPr>
          <c:invertIfNegative val="0"/>
          <c:val>
            <c:numLit>
              <c:formatCode>General</c:formatCode>
              <c:ptCount val="1"/>
              <c:pt idx="0">
                <c:v>1</c:v>
              </c:pt>
            </c:numLit>
          </c:val>
          <c:extLst>
            <c:ext xmlns:c16="http://schemas.microsoft.com/office/drawing/2014/chart" uri="{C3380CC4-5D6E-409C-BE32-E72D297353CC}">
              <c16:uniqueId val="{00000001-B273-4541-A3DE-12E3D9C0C1CC}"/>
            </c:ext>
          </c:extLst>
        </c:ser>
        <c:dLbls>
          <c:showLegendKey val="0"/>
          <c:showVal val="0"/>
          <c:showCatName val="0"/>
          <c:showSerName val="0"/>
          <c:showPercent val="0"/>
          <c:showBubbleSize val="0"/>
        </c:dLbls>
        <c:gapWidth val="219"/>
        <c:overlap val="-27"/>
        <c:axId val="1415199264"/>
        <c:axId val="1287506416"/>
      </c:barChart>
      <c:catAx>
        <c:axId val="14151992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Topic</a:t>
                </a:r>
                <a:r>
                  <a:rPr lang="en-GB" i="1" baseline="0"/>
                  <a:t> area</a:t>
                </a:r>
                <a:endParaRPr lang="en-GB" i="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506416"/>
        <c:crosses val="autoZero"/>
        <c:auto val="1"/>
        <c:lblAlgn val="ctr"/>
        <c:lblOffset val="100"/>
        <c:noMultiLvlLbl val="0"/>
      </c:catAx>
      <c:valAx>
        <c:axId val="1287506416"/>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Available</a:t>
                </a:r>
                <a:r>
                  <a:rPr lang="en-GB" i="1" baseline="0"/>
                  <a:t> marks achieved</a:t>
                </a:r>
                <a:endParaRPr lang="en-GB" i="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5199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vIncludeCohortDataInCharts"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vChart1ShowPctMarks" lockText="1" noThreeD="1"/>
</file>

<file path=xl/ctrlProps/ctrlProp11.xml><?xml version="1.0" encoding="utf-8"?>
<formControlPr xmlns="http://schemas.microsoft.com/office/spreadsheetml/2009/9/main" objectType="CheckBox" fmlaLink="vChart2ShowPctMarks" lockText="1" noThreeD="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7</xdr:row>
          <xdr:rowOff>66675</xdr:rowOff>
        </xdr:from>
        <xdr:to>
          <xdr:col>7</xdr:col>
          <xdr:colOff>304800</xdr:colOff>
          <xdr:row>8</xdr:row>
          <xdr:rowOff>419100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Add assessment and question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10</xdr:row>
          <xdr:rowOff>114300</xdr:rowOff>
        </xdr:from>
        <xdr:to>
          <xdr:col>7</xdr:col>
          <xdr:colOff>333375</xdr:colOff>
          <xdr:row>12</xdr:row>
          <xdr:rowOff>295275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1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142875</xdr:rowOff>
        </xdr:from>
        <xdr:to>
          <xdr:col>7</xdr:col>
          <xdr:colOff>295275</xdr:colOff>
          <xdr:row>14</xdr:row>
          <xdr:rowOff>142875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1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Pupil Insight and Data Summary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17</xdr:row>
          <xdr:rowOff>142874</xdr:rowOff>
        </xdr:from>
        <xdr:to>
          <xdr:col>7</xdr:col>
          <xdr:colOff>276225</xdr:colOff>
          <xdr:row>19</xdr:row>
          <xdr:rowOff>257175</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100-00000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Cohort Insight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7</xdr:row>
          <xdr:rowOff>180975</xdr:rowOff>
        </xdr:from>
        <xdr:to>
          <xdr:col>24</xdr:col>
          <xdr:colOff>0</xdr:colOff>
          <xdr:row>9</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Include class and cohort averages within Pupil Insight Sheet charts (raw marks charts only)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114300</xdr:colOff>
          <xdr:row>5</xdr:row>
          <xdr:rowOff>38100</xdr:rowOff>
        </xdr:from>
        <xdr:to>
          <xdr:col>10</xdr:col>
          <xdr:colOff>571500</xdr:colOff>
          <xdr:row>7</xdr:row>
          <xdr:rowOff>66675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 Pupil Insight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104775</xdr:colOff>
          <xdr:row>2</xdr:row>
          <xdr:rowOff>66675</xdr:rowOff>
        </xdr:from>
        <xdr:to>
          <xdr:col>10</xdr:col>
          <xdr:colOff>561975</xdr:colOff>
          <xdr:row>4</xdr:row>
          <xdr:rowOff>76200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114300</xdr:colOff>
          <xdr:row>7</xdr:row>
          <xdr:rowOff>180975</xdr:rowOff>
        </xdr:from>
        <xdr:to>
          <xdr:col>10</xdr:col>
          <xdr:colOff>571500</xdr:colOff>
          <xdr:row>10</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300-00000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 Cohort Insight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820206</xdr:colOff>
      <xdr:row>4</xdr:row>
      <xdr:rowOff>111133</xdr:rowOff>
    </xdr:to>
    <xdr:pic>
      <xdr:nvPicPr>
        <xdr:cNvPr id="2" name="Picture 1" descr="See the source image">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20206" cy="10445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38100</xdr:colOff>
      <xdr:row>6</xdr:row>
      <xdr:rowOff>30162</xdr:rowOff>
    </xdr:from>
    <xdr:to>
      <xdr:col>20</xdr:col>
      <xdr:colOff>9525</xdr:colOff>
      <xdr:row>34</xdr:row>
      <xdr:rowOff>106363</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204527</xdr:colOff>
      <xdr:row>0</xdr:row>
      <xdr:rowOff>38100</xdr:rowOff>
    </xdr:from>
    <xdr:to>
      <xdr:col>2</xdr:col>
      <xdr:colOff>322000</xdr:colOff>
      <xdr:row>3</xdr:row>
      <xdr:rowOff>255066</xdr:rowOff>
    </xdr:to>
    <xdr:pic>
      <xdr:nvPicPr>
        <xdr:cNvPr id="3" name="Picture 2" descr="See the source image">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4527" y="38100"/>
          <a:ext cx="813857" cy="1019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228600</xdr:colOff>
          <xdr:row>0</xdr:row>
          <xdr:rowOff>371475</xdr:rowOff>
        </xdr:from>
        <xdr:to>
          <xdr:col>19</xdr:col>
          <xdr:colOff>790575</xdr:colOff>
          <xdr:row>4</xdr:row>
          <xdr:rowOff>28575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Pupil Insight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34</xdr:row>
          <xdr:rowOff>152400</xdr:rowOff>
        </xdr:from>
        <xdr:to>
          <xdr:col>12</xdr:col>
          <xdr:colOff>38100</xdr:colOff>
          <xdr:row>36</xdr:row>
          <xdr:rowOff>38100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7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Show % of available marks</a:t>
              </a:r>
            </a:p>
          </xdr:txBody>
        </xdr:sp>
        <xdr:clientData fPrintsWithSheet="0"/>
      </xdr:twoCellAnchor>
    </mc:Choice>
    <mc:Fallback/>
  </mc:AlternateContent>
  <xdr:twoCellAnchor editAs="oneCell">
    <xdr:from>
      <xdr:col>21</xdr:col>
      <xdr:colOff>9525</xdr:colOff>
      <xdr:row>6</xdr:row>
      <xdr:rowOff>29104</xdr:rowOff>
    </xdr:from>
    <xdr:to>
      <xdr:col>31</xdr:col>
      <xdr:colOff>15374</xdr:colOff>
      <xdr:row>34</xdr:row>
      <xdr:rowOff>105307</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66675</xdr:colOff>
          <xdr:row>34</xdr:row>
          <xdr:rowOff>152400</xdr:rowOff>
        </xdr:from>
        <xdr:to>
          <xdr:col>22</xdr:col>
          <xdr:colOff>219075</xdr:colOff>
          <xdr:row>36</xdr:row>
          <xdr:rowOff>38100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7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Show % of available marks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readingschoolco.sharepoint.com/sites/ComputerScienceStaff/Shared%20Documents/Department/Exams/Internal%20exams/2023-24/Y9%20End%20of%20Year%20Exam/AEAS%20and%20feedback/Y9%20EOY%20AEAS.xlsm" TargetMode="External"/><Relationship Id="rId1" Type="http://schemas.openxmlformats.org/officeDocument/2006/relationships/externalLinkPath" Target="https://readingschoolco.sharepoint.com/sites/ComputerScienceStaff/Shared%20Documents/Department/Exams/Internal%20exams/2023-24/Y9%20End%20of%20Year%20Exam/AEAS%20and%20feedback/Y9%20EOY%20AEA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DO"/>
      <sheetName val="Home"/>
      <sheetName val="Setup"/>
      <sheetName val="Data Entry Sheet"/>
      <sheetName val="Pupil Insight"/>
      <sheetName val="Pupil Data Summary TEMPLATE"/>
      <sheetName val="Pupil Data Summary"/>
      <sheetName val="AEAS Info"/>
      <sheetName val="CIS Data TEMPLATE"/>
      <sheetName val="Cohort Insight TEMPLATE"/>
      <sheetName val="Data Entry Sheet TEMPLATE"/>
      <sheetName val="Pupil Insight TEMPLATE"/>
    </sheetNames>
    <sheetDataSet>
      <sheetData sheetId="0" refreshError="1"/>
      <sheetData sheetId="1" refreshError="1"/>
      <sheetData sheetId="2">
        <row r="2">
          <cell r="A2" t="str">
            <v>Year 9 EOY Computer Science</v>
          </cell>
        </row>
        <row r="10">
          <cell r="G10" t="str">
            <v>%</v>
          </cell>
          <cell r="H10" t="str">
            <v>Grade / Level</v>
          </cell>
        </row>
        <row r="11">
          <cell r="B11">
            <v>2</v>
          </cell>
          <cell r="D11" t="str">
            <v>4 Computer systems</v>
          </cell>
          <cell r="E11" t="str">
            <v>Knowledge and understanding (AO1)</v>
          </cell>
          <cell r="G11">
            <v>0</v>
          </cell>
          <cell r="H11" t="str">
            <v>U</v>
          </cell>
        </row>
        <row r="12">
          <cell r="B12">
            <v>4</v>
          </cell>
          <cell r="D12" t="str">
            <v>4 Computer systems</v>
          </cell>
          <cell r="E12" t="str">
            <v>Knowledge and understanding (AO1)</v>
          </cell>
          <cell r="G12">
            <v>0.1</v>
          </cell>
          <cell r="H12">
            <v>1</v>
          </cell>
        </row>
        <row r="13">
          <cell r="B13">
            <v>1</v>
          </cell>
          <cell r="D13" t="str">
            <v>3 Data representation</v>
          </cell>
          <cell r="E13" t="str">
            <v>Application of knowledge (AO2)</v>
          </cell>
          <cell r="G13">
            <v>0.2</v>
          </cell>
          <cell r="H13">
            <v>2</v>
          </cell>
        </row>
        <row r="14">
          <cell r="B14">
            <v>2</v>
          </cell>
          <cell r="D14" t="str">
            <v>3 Data representation</v>
          </cell>
          <cell r="E14" t="str">
            <v>Application of knowledge (AO2)</v>
          </cell>
          <cell r="G14">
            <v>0.3</v>
          </cell>
          <cell r="H14">
            <v>3</v>
          </cell>
        </row>
        <row r="15">
          <cell r="B15">
            <v>3</v>
          </cell>
          <cell r="D15" t="str">
            <v>4 Computer systems</v>
          </cell>
          <cell r="E15" t="str">
            <v>Application of knowledge (AO2)</v>
          </cell>
          <cell r="G15">
            <v>0.4</v>
          </cell>
          <cell r="H15">
            <v>4</v>
          </cell>
        </row>
        <row r="16">
          <cell r="B16">
            <v>3</v>
          </cell>
          <cell r="D16" t="str">
            <v>4 Computer systems</v>
          </cell>
          <cell r="E16" t="str">
            <v>Application of knowledge (AO2)</v>
          </cell>
          <cell r="G16">
            <v>0.5</v>
          </cell>
          <cell r="H16">
            <v>5</v>
          </cell>
        </row>
        <row r="17">
          <cell r="B17">
            <v>2</v>
          </cell>
          <cell r="D17" t="str">
            <v>3 Data representation</v>
          </cell>
          <cell r="E17" t="str">
            <v>Application of knowledge (AO2)</v>
          </cell>
          <cell r="G17">
            <v>0.6</v>
          </cell>
          <cell r="H17">
            <v>6</v>
          </cell>
        </row>
        <row r="18">
          <cell r="B18">
            <v>1</v>
          </cell>
          <cell r="D18" t="str">
            <v>3 Data representation</v>
          </cell>
          <cell r="E18" t="str">
            <v>Application of knowledge (AO2)</v>
          </cell>
          <cell r="G18">
            <v>0.7</v>
          </cell>
          <cell r="H18">
            <v>7</v>
          </cell>
        </row>
        <row r="19">
          <cell r="B19">
            <v>1</v>
          </cell>
          <cell r="D19" t="str">
            <v>3 Data representation</v>
          </cell>
          <cell r="E19" t="str">
            <v>Application of knowledge (AO2)</v>
          </cell>
          <cell r="G19">
            <v>0.8</v>
          </cell>
          <cell r="H19">
            <v>8</v>
          </cell>
        </row>
        <row r="20">
          <cell r="B20">
            <v>1</v>
          </cell>
          <cell r="D20" t="str">
            <v>3 Data representation</v>
          </cell>
          <cell r="E20" t="str">
            <v>Application of knowledge (AO2)</v>
          </cell>
          <cell r="G20">
            <v>0.9</v>
          </cell>
          <cell r="H20">
            <v>9</v>
          </cell>
        </row>
        <row r="21">
          <cell r="B21">
            <v>2</v>
          </cell>
          <cell r="D21" t="str">
            <v>3 Data representation</v>
          </cell>
          <cell r="E21" t="str">
            <v>Knowledge and understanding (AO1)</v>
          </cell>
        </row>
        <row r="22">
          <cell r="B22">
            <v>2</v>
          </cell>
          <cell r="D22" t="str">
            <v>3 Data representation</v>
          </cell>
          <cell r="E22" t="str">
            <v>Application of knowledge (AO2)</v>
          </cell>
        </row>
        <row r="23">
          <cell r="B23">
            <v>2</v>
          </cell>
          <cell r="D23" t="str">
            <v>2 Programming</v>
          </cell>
          <cell r="E23" t="str">
            <v>Programming (AO3)</v>
          </cell>
        </row>
        <row r="24">
          <cell r="B24">
            <v>7</v>
          </cell>
          <cell r="D24" t="str">
            <v>2 Programming</v>
          </cell>
          <cell r="E24" t="str">
            <v>Programming (AO3)</v>
          </cell>
        </row>
        <row r="25">
          <cell r="B25">
            <v>1</v>
          </cell>
          <cell r="D25" t="str">
            <v>2 Programming</v>
          </cell>
          <cell r="E25" t="str">
            <v>Application of knowledge (AO2)</v>
          </cell>
        </row>
        <row r="26">
          <cell r="B26">
            <v>2</v>
          </cell>
          <cell r="D26" t="str">
            <v>2 Programming</v>
          </cell>
          <cell r="E26" t="str">
            <v>Knowledge and understanding (AO1)</v>
          </cell>
        </row>
        <row r="27">
          <cell r="B27">
            <v>2</v>
          </cell>
          <cell r="D27" t="str">
            <v>1 Algorithms</v>
          </cell>
          <cell r="E27" t="str">
            <v>Knowledge and understanding (AO1)</v>
          </cell>
        </row>
        <row r="28">
          <cell r="B28">
            <v>4</v>
          </cell>
          <cell r="D28" t="str">
            <v>1 Algorithms</v>
          </cell>
          <cell r="E28" t="str">
            <v>Application of knowledge (AO2)</v>
          </cell>
        </row>
        <row r="29">
          <cell r="B29">
            <v>2</v>
          </cell>
          <cell r="D29" t="str">
            <v>1 Algorithms</v>
          </cell>
          <cell r="E29" t="str">
            <v>Knowledge and understanding (AO1)</v>
          </cell>
        </row>
        <row r="30">
          <cell r="B30">
            <v>1</v>
          </cell>
          <cell r="D30" t="str">
            <v>1 Algorithms</v>
          </cell>
          <cell r="E30" t="str">
            <v>Knowledge and understanding (AO1)</v>
          </cell>
        </row>
        <row r="31">
          <cell r="B31">
            <v>6</v>
          </cell>
          <cell r="D31" t="str">
            <v>1 Algorithms</v>
          </cell>
          <cell r="E31" t="str">
            <v>Application of knowledge (AO2)</v>
          </cell>
        </row>
        <row r="32">
          <cell r="B32">
            <v>1</v>
          </cell>
          <cell r="D32" t="str">
            <v>1 Algorithms</v>
          </cell>
          <cell r="E32" t="str">
            <v>Analysis (AO3)</v>
          </cell>
        </row>
        <row r="33">
          <cell r="B33">
            <v>1</v>
          </cell>
          <cell r="D33" t="str">
            <v>2 Programming</v>
          </cell>
          <cell r="E33" t="str">
            <v>Analysis (AO3)</v>
          </cell>
        </row>
        <row r="34">
          <cell r="B34">
            <v>7</v>
          </cell>
          <cell r="D34" t="str">
            <v>2 Programming</v>
          </cell>
          <cell r="E34" t="str">
            <v>Programming (AO3)</v>
          </cell>
        </row>
      </sheetData>
      <sheetData sheetId="3">
        <row r="4">
          <cell r="AB4">
            <v>59</v>
          </cell>
        </row>
        <row r="5">
          <cell r="A5" t="str">
            <v>David Breitenbach</v>
          </cell>
          <cell r="B5" t="str">
            <v>9A</v>
          </cell>
          <cell r="C5" t="str">
            <v>K</v>
          </cell>
          <cell r="D5">
            <v>1</v>
          </cell>
          <cell r="E5">
            <v>2</v>
          </cell>
          <cell r="F5">
            <v>1</v>
          </cell>
          <cell r="G5">
            <v>1</v>
          </cell>
          <cell r="H5">
            <v>3</v>
          </cell>
          <cell r="I5">
            <v>3</v>
          </cell>
          <cell r="J5">
            <v>2</v>
          </cell>
          <cell r="K5">
            <v>1</v>
          </cell>
          <cell r="L5">
            <v>1</v>
          </cell>
          <cell r="M5">
            <v>1</v>
          </cell>
          <cell r="N5">
            <v>0</v>
          </cell>
          <cell r="O5">
            <v>2</v>
          </cell>
          <cell r="P5">
            <v>2</v>
          </cell>
          <cell r="Q5">
            <v>5</v>
          </cell>
          <cell r="R5">
            <v>1</v>
          </cell>
          <cell r="S5">
            <v>2</v>
          </cell>
          <cell r="T5">
            <v>1</v>
          </cell>
          <cell r="U5">
            <v>3</v>
          </cell>
          <cell r="V5">
            <v>0</v>
          </cell>
          <cell r="W5">
            <v>1</v>
          </cell>
          <cell r="X5">
            <v>6</v>
          </cell>
          <cell r="Y5">
            <v>1</v>
          </cell>
          <cell r="Z5">
            <v>1</v>
          </cell>
          <cell r="AA5">
            <v>6</v>
          </cell>
          <cell r="AB5">
            <v>47</v>
          </cell>
          <cell r="AC5">
            <v>0.79661016949152541</v>
          </cell>
          <cell r="AD5">
            <v>7</v>
          </cell>
          <cell r="AE5" t="b">
            <v>0</v>
          </cell>
          <cell r="AF5" t="b">
            <v>1</v>
          </cell>
          <cell r="AG5" t="b">
            <v>0</v>
          </cell>
          <cell r="AH5" t="b">
            <v>0</v>
          </cell>
        </row>
        <row r="6">
          <cell r="A6" t="str">
            <v>Yin-Chuan Chang</v>
          </cell>
          <cell r="B6" t="str">
            <v>9A</v>
          </cell>
          <cell r="D6">
            <v>2</v>
          </cell>
          <cell r="E6">
            <v>0</v>
          </cell>
          <cell r="F6">
            <v>1</v>
          </cell>
          <cell r="G6">
            <v>1</v>
          </cell>
          <cell r="H6">
            <v>0</v>
          </cell>
          <cell r="I6">
            <v>1</v>
          </cell>
          <cell r="J6">
            <v>2</v>
          </cell>
          <cell r="K6">
            <v>1</v>
          </cell>
          <cell r="L6">
            <v>0</v>
          </cell>
          <cell r="M6">
            <v>1</v>
          </cell>
          <cell r="N6">
            <v>0</v>
          </cell>
          <cell r="O6">
            <v>2</v>
          </cell>
          <cell r="P6">
            <v>1</v>
          </cell>
          <cell r="Q6">
            <v>5</v>
          </cell>
          <cell r="R6">
            <v>1</v>
          </cell>
          <cell r="S6">
            <v>1</v>
          </cell>
          <cell r="T6">
            <v>1</v>
          </cell>
          <cell r="U6">
            <v>2</v>
          </cell>
          <cell r="V6">
            <v>0</v>
          </cell>
          <cell r="W6">
            <v>1</v>
          </cell>
          <cell r="X6">
            <v>3</v>
          </cell>
          <cell r="Y6">
            <v>0</v>
          </cell>
          <cell r="Z6">
            <v>1</v>
          </cell>
          <cell r="AA6">
            <v>1</v>
          </cell>
          <cell r="AB6">
            <v>28</v>
          </cell>
          <cell r="AC6">
            <v>0.47457627118644069</v>
          </cell>
          <cell r="AD6">
            <v>4</v>
          </cell>
          <cell r="AE6" t="b">
            <v>0</v>
          </cell>
          <cell r="AF6" t="b">
            <v>0</v>
          </cell>
          <cell r="AG6" t="b">
            <v>0</v>
          </cell>
          <cell r="AH6" t="b">
            <v>1</v>
          </cell>
        </row>
        <row r="7">
          <cell r="A7" t="str">
            <v>Rayyan Choudhury</v>
          </cell>
          <cell r="B7" t="str">
            <v>9A</v>
          </cell>
          <cell r="D7">
            <v>1</v>
          </cell>
          <cell r="E7">
            <v>2</v>
          </cell>
          <cell r="F7">
            <v>1</v>
          </cell>
          <cell r="G7">
            <v>2</v>
          </cell>
          <cell r="H7">
            <v>3</v>
          </cell>
          <cell r="I7">
            <v>3</v>
          </cell>
          <cell r="J7">
            <v>0</v>
          </cell>
          <cell r="K7">
            <v>1</v>
          </cell>
          <cell r="L7">
            <v>1</v>
          </cell>
          <cell r="M7">
            <v>1</v>
          </cell>
          <cell r="N7">
            <v>1</v>
          </cell>
          <cell r="O7">
            <v>2</v>
          </cell>
          <cell r="P7">
            <v>2</v>
          </cell>
          <cell r="Q7">
            <v>4</v>
          </cell>
          <cell r="R7">
            <v>1</v>
          </cell>
          <cell r="S7">
            <v>2</v>
          </cell>
          <cell r="T7">
            <v>2</v>
          </cell>
          <cell r="U7">
            <v>3</v>
          </cell>
          <cell r="V7">
            <v>1</v>
          </cell>
          <cell r="W7">
            <v>1</v>
          </cell>
          <cell r="X7">
            <v>4</v>
          </cell>
          <cell r="Y7">
            <v>0</v>
          </cell>
          <cell r="Z7">
            <v>1</v>
          </cell>
          <cell r="AA7">
            <v>7</v>
          </cell>
          <cell r="AB7">
            <v>46</v>
          </cell>
          <cell r="AC7">
            <v>0.77966101694915257</v>
          </cell>
          <cell r="AD7">
            <v>7</v>
          </cell>
          <cell r="AE7" t="b">
            <v>0</v>
          </cell>
          <cell r="AF7" t="b">
            <v>0</v>
          </cell>
          <cell r="AG7" t="b">
            <v>0</v>
          </cell>
          <cell r="AH7" t="b">
            <v>1</v>
          </cell>
        </row>
        <row r="8">
          <cell r="A8" t="str">
            <v>Abhiram Gandluri</v>
          </cell>
          <cell r="B8" t="str">
            <v>9A</v>
          </cell>
          <cell r="D8">
            <v>2</v>
          </cell>
          <cell r="E8">
            <v>4</v>
          </cell>
          <cell r="F8">
            <v>0</v>
          </cell>
          <cell r="G8">
            <v>2</v>
          </cell>
          <cell r="H8">
            <v>3</v>
          </cell>
          <cell r="I8">
            <v>3</v>
          </cell>
          <cell r="J8">
            <v>2</v>
          </cell>
          <cell r="K8">
            <v>1</v>
          </cell>
          <cell r="L8">
            <v>1</v>
          </cell>
          <cell r="M8">
            <v>1</v>
          </cell>
          <cell r="N8">
            <v>1</v>
          </cell>
          <cell r="O8">
            <v>2</v>
          </cell>
          <cell r="P8">
            <v>1</v>
          </cell>
          <cell r="Q8">
            <v>7</v>
          </cell>
          <cell r="R8">
            <v>1</v>
          </cell>
          <cell r="S8">
            <v>2</v>
          </cell>
          <cell r="T8">
            <v>1</v>
          </cell>
          <cell r="U8">
            <v>3</v>
          </cell>
          <cell r="V8">
            <v>2</v>
          </cell>
          <cell r="W8">
            <v>1</v>
          </cell>
          <cell r="X8">
            <v>5</v>
          </cell>
          <cell r="Y8">
            <v>1</v>
          </cell>
          <cell r="Z8">
            <v>1</v>
          </cell>
          <cell r="AA8">
            <v>7</v>
          </cell>
          <cell r="AB8">
            <v>54</v>
          </cell>
          <cell r="AC8">
            <v>0.9152542372881356</v>
          </cell>
          <cell r="AD8">
            <v>9</v>
          </cell>
          <cell r="AE8" t="b">
            <v>0</v>
          </cell>
          <cell r="AF8" t="b">
            <v>0</v>
          </cell>
          <cell r="AG8" t="b">
            <v>0</v>
          </cell>
          <cell r="AH8" t="b">
            <v>1</v>
          </cell>
        </row>
        <row r="9">
          <cell r="A9" t="str">
            <v>Krishiv Gupta</v>
          </cell>
          <cell r="B9" t="str">
            <v>9A</v>
          </cell>
          <cell r="D9">
            <v>2</v>
          </cell>
          <cell r="E9">
            <v>0</v>
          </cell>
          <cell r="F9">
            <v>1</v>
          </cell>
          <cell r="G9">
            <v>2</v>
          </cell>
          <cell r="H9">
            <v>2</v>
          </cell>
          <cell r="I9">
            <v>3</v>
          </cell>
          <cell r="J9">
            <v>0</v>
          </cell>
          <cell r="K9">
            <v>1</v>
          </cell>
          <cell r="L9">
            <v>1</v>
          </cell>
          <cell r="M9">
            <v>1</v>
          </cell>
          <cell r="N9">
            <v>1</v>
          </cell>
          <cell r="O9">
            <v>0</v>
          </cell>
          <cell r="P9">
            <v>1</v>
          </cell>
          <cell r="Q9">
            <v>3</v>
          </cell>
          <cell r="R9">
            <v>0</v>
          </cell>
          <cell r="S9">
            <v>1</v>
          </cell>
          <cell r="T9">
            <v>2</v>
          </cell>
          <cell r="U9">
            <v>3</v>
          </cell>
          <cell r="V9">
            <v>1</v>
          </cell>
          <cell r="W9">
            <v>1</v>
          </cell>
          <cell r="X9">
            <v>1</v>
          </cell>
          <cell r="Y9">
            <v>1</v>
          </cell>
          <cell r="Z9">
            <v>0</v>
          </cell>
          <cell r="AA9">
            <v>2</v>
          </cell>
          <cell r="AB9">
            <v>30</v>
          </cell>
          <cell r="AC9">
            <v>0.50847457627118642</v>
          </cell>
          <cell r="AD9">
            <v>5</v>
          </cell>
          <cell r="AE9" t="b">
            <v>0</v>
          </cell>
          <cell r="AF9" t="b">
            <v>0</v>
          </cell>
          <cell r="AG9" t="b">
            <v>0</v>
          </cell>
          <cell r="AH9" t="b">
            <v>1</v>
          </cell>
        </row>
        <row r="10">
          <cell r="A10" t="str">
            <v>Daiki Hayashi</v>
          </cell>
          <cell r="B10" t="str">
            <v>9A</v>
          </cell>
          <cell r="D10">
            <v>1</v>
          </cell>
          <cell r="E10">
            <v>1</v>
          </cell>
          <cell r="F10">
            <v>1</v>
          </cell>
          <cell r="G10">
            <v>2</v>
          </cell>
          <cell r="H10">
            <v>2</v>
          </cell>
          <cell r="I10">
            <v>3</v>
          </cell>
          <cell r="J10">
            <v>2</v>
          </cell>
          <cell r="K10">
            <v>1</v>
          </cell>
          <cell r="L10">
            <v>1</v>
          </cell>
          <cell r="M10">
            <v>1</v>
          </cell>
          <cell r="N10">
            <v>1</v>
          </cell>
          <cell r="O10">
            <v>2</v>
          </cell>
          <cell r="P10">
            <v>1</v>
          </cell>
          <cell r="Q10">
            <v>2</v>
          </cell>
          <cell r="R10">
            <v>0</v>
          </cell>
          <cell r="S10">
            <v>0</v>
          </cell>
          <cell r="T10">
            <v>1</v>
          </cell>
          <cell r="U10">
            <v>3</v>
          </cell>
          <cell r="V10">
            <v>2</v>
          </cell>
          <cell r="W10">
            <v>1</v>
          </cell>
          <cell r="X10">
            <v>4</v>
          </cell>
          <cell r="Y10">
            <v>0</v>
          </cell>
          <cell r="Z10">
            <v>0</v>
          </cell>
          <cell r="AA10">
            <v>0</v>
          </cell>
          <cell r="AB10">
            <v>32</v>
          </cell>
          <cell r="AC10">
            <v>0.5423728813559322</v>
          </cell>
          <cell r="AD10">
            <v>5</v>
          </cell>
          <cell r="AE10" t="b">
            <v>0</v>
          </cell>
          <cell r="AF10" t="b">
            <v>0</v>
          </cell>
          <cell r="AG10" t="b">
            <v>0</v>
          </cell>
          <cell r="AH10" t="b">
            <v>1</v>
          </cell>
        </row>
        <row r="11">
          <cell r="A11" t="str">
            <v>Arham Imran</v>
          </cell>
          <cell r="B11" t="str">
            <v>9A</v>
          </cell>
          <cell r="C11" t="str">
            <v>T</v>
          </cell>
          <cell r="D11">
            <v>2</v>
          </cell>
          <cell r="E11">
            <v>2</v>
          </cell>
          <cell r="F11">
            <v>1</v>
          </cell>
          <cell r="G11">
            <v>1</v>
          </cell>
          <cell r="H11">
            <v>2</v>
          </cell>
          <cell r="I11">
            <v>2</v>
          </cell>
          <cell r="J11">
            <v>2</v>
          </cell>
          <cell r="K11">
            <v>1</v>
          </cell>
          <cell r="L11">
            <v>1</v>
          </cell>
          <cell r="M11">
            <v>0</v>
          </cell>
          <cell r="N11">
            <v>1</v>
          </cell>
          <cell r="O11">
            <v>2</v>
          </cell>
          <cell r="P11">
            <v>1</v>
          </cell>
          <cell r="Q11">
            <v>0</v>
          </cell>
          <cell r="R11">
            <v>0</v>
          </cell>
          <cell r="S11">
            <v>2</v>
          </cell>
          <cell r="T11">
            <v>1</v>
          </cell>
          <cell r="U11">
            <v>3</v>
          </cell>
          <cell r="V11">
            <v>2</v>
          </cell>
          <cell r="W11">
            <v>0</v>
          </cell>
          <cell r="X11">
            <v>3</v>
          </cell>
          <cell r="Y11">
            <v>0</v>
          </cell>
          <cell r="Z11">
            <v>1</v>
          </cell>
          <cell r="AA11">
            <v>1</v>
          </cell>
          <cell r="AB11">
            <v>31</v>
          </cell>
          <cell r="AC11">
            <v>0.52542372881355937</v>
          </cell>
          <cell r="AD11">
            <v>5</v>
          </cell>
          <cell r="AE11" t="b">
            <v>1</v>
          </cell>
          <cell r="AF11" t="b">
            <v>0</v>
          </cell>
          <cell r="AG11" t="b">
            <v>0</v>
          </cell>
          <cell r="AH11" t="b">
            <v>0</v>
          </cell>
        </row>
        <row r="12">
          <cell r="A12" t="str">
            <v>Kunal Jain</v>
          </cell>
          <cell r="B12" t="str">
            <v>9A</v>
          </cell>
          <cell r="D12">
            <v>1</v>
          </cell>
          <cell r="E12">
            <v>4</v>
          </cell>
          <cell r="F12">
            <v>1</v>
          </cell>
          <cell r="G12">
            <v>2</v>
          </cell>
          <cell r="H12">
            <v>3</v>
          </cell>
          <cell r="I12">
            <v>3</v>
          </cell>
          <cell r="J12">
            <v>2</v>
          </cell>
          <cell r="K12">
            <v>1</v>
          </cell>
          <cell r="L12">
            <v>1</v>
          </cell>
          <cell r="M12">
            <v>1</v>
          </cell>
          <cell r="N12">
            <v>0</v>
          </cell>
          <cell r="O12">
            <v>2</v>
          </cell>
          <cell r="P12">
            <v>2</v>
          </cell>
          <cell r="Q12">
            <v>5</v>
          </cell>
          <cell r="R12">
            <v>0</v>
          </cell>
          <cell r="S12">
            <v>1</v>
          </cell>
          <cell r="T12">
            <v>1</v>
          </cell>
          <cell r="U12">
            <v>3</v>
          </cell>
          <cell r="V12">
            <v>1</v>
          </cell>
          <cell r="W12">
            <v>1</v>
          </cell>
          <cell r="X12">
            <v>6</v>
          </cell>
          <cell r="Y12">
            <v>1</v>
          </cell>
          <cell r="Z12">
            <v>0</v>
          </cell>
          <cell r="AA12">
            <v>1</v>
          </cell>
          <cell r="AB12">
            <v>43</v>
          </cell>
          <cell r="AC12">
            <v>0.72881355932203384</v>
          </cell>
          <cell r="AD12">
            <v>7</v>
          </cell>
          <cell r="AE12" t="b">
            <v>0</v>
          </cell>
          <cell r="AF12" t="b">
            <v>0</v>
          </cell>
          <cell r="AG12" t="b">
            <v>0</v>
          </cell>
          <cell r="AH12" t="b">
            <v>1</v>
          </cell>
        </row>
        <row r="13">
          <cell r="A13" t="str">
            <v>Kaushik Linga</v>
          </cell>
          <cell r="B13" t="str">
            <v>9A</v>
          </cell>
          <cell r="D13">
            <v>0</v>
          </cell>
          <cell r="E13">
            <v>0</v>
          </cell>
          <cell r="F13">
            <v>1</v>
          </cell>
          <cell r="G13">
            <v>0</v>
          </cell>
          <cell r="H13">
            <v>2</v>
          </cell>
          <cell r="I13">
            <v>3</v>
          </cell>
          <cell r="J13">
            <v>2</v>
          </cell>
          <cell r="K13">
            <v>1</v>
          </cell>
          <cell r="L13">
            <v>1</v>
          </cell>
          <cell r="M13">
            <v>1</v>
          </cell>
          <cell r="N13">
            <v>1</v>
          </cell>
          <cell r="O13">
            <v>0</v>
          </cell>
          <cell r="P13">
            <v>0</v>
          </cell>
          <cell r="Q13">
            <v>2</v>
          </cell>
          <cell r="R13">
            <v>0</v>
          </cell>
          <cell r="S13">
            <v>1</v>
          </cell>
          <cell r="T13">
            <v>1</v>
          </cell>
          <cell r="U13">
            <v>3</v>
          </cell>
          <cell r="V13">
            <v>1</v>
          </cell>
          <cell r="W13">
            <v>1</v>
          </cell>
          <cell r="X13">
            <v>1</v>
          </cell>
          <cell r="Y13">
            <v>0</v>
          </cell>
          <cell r="Z13">
            <v>0</v>
          </cell>
          <cell r="AA13">
            <v>0</v>
          </cell>
          <cell r="AB13">
            <v>22</v>
          </cell>
          <cell r="AC13">
            <v>0.3728813559322034</v>
          </cell>
          <cell r="AD13">
            <v>3</v>
          </cell>
          <cell r="AE13" t="b">
            <v>0</v>
          </cell>
          <cell r="AF13" t="b">
            <v>0</v>
          </cell>
          <cell r="AG13" t="b">
            <v>0</v>
          </cell>
          <cell r="AH13" t="b">
            <v>1</v>
          </cell>
        </row>
        <row r="14">
          <cell r="A14" t="str">
            <v>Sai Aashrith Narapureddy</v>
          </cell>
          <cell r="B14" t="str">
            <v>9A</v>
          </cell>
          <cell r="D14">
            <v>1</v>
          </cell>
          <cell r="E14">
            <v>0</v>
          </cell>
          <cell r="F14">
            <v>1</v>
          </cell>
          <cell r="G14">
            <v>1</v>
          </cell>
          <cell r="H14">
            <v>3</v>
          </cell>
          <cell r="I14">
            <v>3</v>
          </cell>
          <cell r="J14">
            <v>2</v>
          </cell>
          <cell r="K14">
            <v>1</v>
          </cell>
          <cell r="L14">
            <v>1</v>
          </cell>
          <cell r="M14">
            <v>1</v>
          </cell>
          <cell r="N14">
            <v>1</v>
          </cell>
          <cell r="O14">
            <v>0</v>
          </cell>
          <cell r="P14">
            <v>1</v>
          </cell>
          <cell r="Q14">
            <v>2</v>
          </cell>
          <cell r="R14">
            <v>0</v>
          </cell>
          <cell r="S14">
            <v>0</v>
          </cell>
          <cell r="T14">
            <v>0</v>
          </cell>
          <cell r="U14">
            <v>2</v>
          </cell>
          <cell r="V14">
            <v>2</v>
          </cell>
          <cell r="W14">
            <v>0</v>
          </cell>
          <cell r="X14">
            <v>4</v>
          </cell>
          <cell r="Y14">
            <v>0</v>
          </cell>
          <cell r="Z14">
            <v>1</v>
          </cell>
          <cell r="AA14">
            <v>1</v>
          </cell>
          <cell r="AB14">
            <v>28</v>
          </cell>
          <cell r="AC14">
            <v>0.47457627118644069</v>
          </cell>
          <cell r="AD14">
            <v>4</v>
          </cell>
          <cell r="AE14" t="b">
            <v>0</v>
          </cell>
          <cell r="AF14" t="b">
            <v>0</v>
          </cell>
          <cell r="AG14" t="b">
            <v>0</v>
          </cell>
          <cell r="AH14" t="b">
            <v>1</v>
          </cell>
        </row>
        <row r="15">
          <cell r="A15" t="str">
            <v>Abhiraj Nerlekar</v>
          </cell>
          <cell r="B15" t="str">
            <v>9A</v>
          </cell>
          <cell r="C15" t="str">
            <v>B</v>
          </cell>
          <cell r="D15">
            <v>1</v>
          </cell>
          <cell r="E15">
            <v>1</v>
          </cell>
          <cell r="F15">
            <v>0</v>
          </cell>
          <cell r="G15">
            <v>0</v>
          </cell>
          <cell r="H15">
            <v>1</v>
          </cell>
          <cell r="I15">
            <v>3</v>
          </cell>
          <cell r="J15">
            <v>2</v>
          </cell>
          <cell r="K15">
            <v>0</v>
          </cell>
          <cell r="L15">
            <v>0</v>
          </cell>
          <cell r="M15">
            <v>0</v>
          </cell>
          <cell r="N15">
            <v>0</v>
          </cell>
          <cell r="O15">
            <v>0</v>
          </cell>
          <cell r="P15">
            <v>1</v>
          </cell>
          <cell r="Q15">
            <v>3</v>
          </cell>
          <cell r="R15">
            <v>0</v>
          </cell>
          <cell r="S15">
            <v>0</v>
          </cell>
          <cell r="T15">
            <v>1</v>
          </cell>
          <cell r="U15">
            <v>3</v>
          </cell>
          <cell r="V15">
            <v>1</v>
          </cell>
          <cell r="W15">
            <v>0</v>
          </cell>
          <cell r="X15">
            <v>0</v>
          </cell>
          <cell r="Y15">
            <v>0</v>
          </cell>
          <cell r="Z15">
            <v>0</v>
          </cell>
          <cell r="AA15">
            <v>2</v>
          </cell>
          <cell r="AB15">
            <v>19</v>
          </cell>
          <cell r="AC15">
            <v>0.32203389830508472</v>
          </cell>
          <cell r="AD15">
            <v>3</v>
          </cell>
          <cell r="AE15" t="b">
            <v>0</v>
          </cell>
          <cell r="AF15" t="b">
            <v>0</v>
          </cell>
          <cell r="AG15" t="b">
            <v>1</v>
          </cell>
          <cell r="AH15" t="b">
            <v>0</v>
          </cell>
        </row>
        <row r="16">
          <cell r="A16" t="str">
            <v>Renesh Potu</v>
          </cell>
          <cell r="B16" t="str">
            <v>9A</v>
          </cell>
          <cell r="D16">
            <v>2</v>
          </cell>
          <cell r="E16">
            <v>3</v>
          </cell>
          <cell r="F16">
            <v>1</v>
          </cell>
          <cell r="G16">
            <v>2</v>
          </cell>
          <cell r="H16">
            <v>3</v>
          </cell>
          <cell r="I16">
            <v>3</v>
          </cell>
          <cell r="J16">
            <v>2</v>
          </cell>
          <cell r="K16">
            <v>1</v>
          </cell>
          <cell r="L16">
            <v>1</v>
          </cell>
          <cell r="M16">
            <v>1</v>
          </cell>
          <cell r="N16">
            <v>1</v>
          </cell>
          <cell r="O16">
            <v>2</v>
          </cell>
          <cell r="P16">
            <v>2</v>
          </cell>
          <cell r="Q16">
            <v>6</v>
          </cell>
          <cell r="R16">
            <v>1</v>
          </cell>
          <cell r="S16">
            <v>2</v>
          </cell>
          <cell r="T16">
            <v>2</v>
          </cell>
          <cell r="U16">
            <v>4</v>
          </cell>
          <cell r="V16">
            <v>2</v>
          </cell>
          <cell r="W16">
            <v>1</v>
          </cell>
          <cell r="X16">
            <v>4</v>
          </cell>
          <cell r="Y16">
            <v>0</v>
          </cell>
          <cell r="Z16">
            <v>1</v>
          </cell>
          <cell r="AA16">
            <v>4</v>
          </cell>
          <cell r="AB16">
            <v>51</v>
          </cell>
          <cell r="AC16">
            <v>0.86440677966101698</v>
          </cell>
          <cell r="AD16">
            <v>8</v>
          </cell>
          <cell r="AE16" t="b">
            <v>0</v>
          </cell>
          <cell r="AF16" t="b">
            <v>0</v>
          </cell>
          <cell r="AG16" t="b">
            <v>0</v>
          </cell>
          <cell r="AH16" t="b">
            <v>1</v>
          </cell>
        </row>
        <row r="17">
          <cell r="A17" t="str">
            <v>Sripratish Rao</v>
          </cell>
          <cell r="B17" t="str">
            <v>9A</v>
          </cell>
          <cell r="D17">
            <v>2</v>
          </cell>
          <cell r="E17">
            <v>2</v>
          </cell>
          <cell r="F17">
            <v>1</v>
          </cell>
          <cell r="G17">
            <v>2</v>
          </cell>
          <cell r="H17">
            <v>3</v>
          </cell>
          <cell r="I17">
            <v>3</v>
          </cell>
          <cell r="J17">
            <v>2</v>
          </cell>
          <cell r="K17">
            <v>1</v>
          </cell>
          <cell r="L17">
            <v>1</v>
          </cell>
          <cell r="M17">
            <v>0</v>
          </cell>
          <cell r="N17">
            <v>1</v>
          </cell>
          <cell r="O17">
            <v>2</v>
          </cell>
          <cell r="P17">
            <v>1</v>
          </cell>
          <cell r="Q17">
            <v>6</v>
          </cell>
          <cell r="R17">
            <v>1</v>
          </cell>
          <cell r="S17">
            <v>2</v>
          </cell>
          <cell r="T17">
            <v>2</v>
          </cell>
          <cell r="U17">
            <v>2</v>
          </cell>
          <cell r="V17">
            <v>1</v>
          </cell>
          <cell r="W17">
            <v>1</v>
          </cell>
          <cell r="X17">
            <v>6</v>
          </cell>
          <cell r="Y17">
            <v>0</v>
          </cell>
          <cell r="Z17">
            <v>1</v>
          </cell>
          <cell r="AA17">
            <v>7</v>
          </cell>
          <cell r="AB17">
            <v>50</v>
          </cell>
          <cell r="AC17">
            <v>0.84745762711864403</v>
          </cell>
          <cell r="AD17">
            <v>8</v>
          </cell>
          <cell r="AE17" t="b">
            <v>0</v>
          </cell>
          <cell r="AF17" t="b">
            <v>0</v>
          </cell>
          <cell r="AG17" t="b">
            <v>0</v>
          </cell>
          <cell r="AH17" t="b">
            <v>1</v>
          </cell>
        </row>
        <row r="18">
          <cell r="A18" t="str">
            <v>Umar Sabri</v>
          </cell>
          <cell r="B18" t="str">
            <v>9A</v>
          </cell>
          <cell r="D18">
            <v>0</v>
          </cell>
          <cell r="E18">
            <v>2</v>
          </cell>
          <cell r="F18">
            <v>1</v>
          </cell>
          <cell r="G18">
            <v>2</v>
          </cell>
          <cell r="H18">
            <v>0</v>
          </cell>
          <cell r="I18">
            <v>0</v>
          </cell>
          <cell r="J18">
            <v>2</v>
          </cell>
          <cell r="K18">
            <v>0</v>
          </cell>
          <cell r="L18">
            <v>1</v>
          </cell>
          <cell r="M18">
            <v>0</v>
          </cell>
          <cell r="N18">
            <v>1</v>
          </cell>
          <cell r="O18">
            <v>2</v>
          </cell>
          <cell r="P18">
            <v>1</v>
          </cell>
          <cell r="Q18">
            <v>4</v>
          </cell>
          <cell r="R18">
            <v>1</v>
          </cell>
          <cell r="S18">
            <v>2</v>
          </cell>
          <cell r="T18">
            <v>2</v>
          </cell>
          <cell r="U18">
            <v>3</v>
          </cell>
          <cell r="V18">
            <v>2</v>
          </cell>
          <cell r="W18">
            <v>1</v>
          </cell>
          <cell r="X18">
            <v>3</v>
          </cell>
          <cell r="Y18">
            <v>0</v>
          </cell>
          <cell r="Z18">
            <v>1</v>
          </cell>
          <cell r="AA18">
            <v>3</v>
          </cell>
          <cell r="AB18">
            <v>34</v>
          </cell>
          <cell r="AC18">
            <v>0.57627118644067798</v>
          </cell>
          <cell r="AD18">
            <v>5</v>
          </cell>
          <cell r="AE18" t="b">
            <v>0</v>
          </cell>
          <cell r="AF18" t="b">
            <v>0</v>
          </cell>
          <cell r="AG18" t="b">
            <v>0</v>
          </cell>
          <cell r="AH18" t="b">
            <v>1</v>
          </cell>
        </row>
        <row r="19">
          <cell r="A19" t="str">
            <v>Haris Salman</v>
          </cell>
          <cell r="B19" t="str">
            <v>9A</v>
          </cell>
          <cell r="C19" t="str">
            <v>T</v>
          </cell>
          <cell r="D19">
            <v>1</v>
          </cell>
          <cell r="E19">
            <v>0</v>
          </cell>
          <cell r="F19">
            <v>1</v>
          </cell>
          <cell r="G19">
            <v>1</v>
          </cell>
          <cell r="H19">
            <v>3</v>
          </cell>
          <cell r="I19">
            <v>3</v>
          </cell>
          <cell r="J19">
            <v>2</v>
          </cell>
          <cell r="K19">
            <v>1</v>
          </cell>
          <cell r="L19">
            <v>0</v>
          </cell>
          <cell r="M19">
            <v>1</v>
          </cell>
          <cell r="N19">
            <v>1</v>
          </cell>
          <cell r="O19">
            <v>0</v>
          </cell>
          <cell r="P19">
            <v>1</v>
          </cell>
          <cell r="Q19">
            <v>2</v>
          </cell>
          <cell r="R19">
            <v>0</v>
          </cell>
          <cell r="S19">
            <v>1</v>
          </cell>
          <cell r="T19">
            <v>0</v>
          </cell>
          <cell r="U19">
            <v>2</v>
          </cell>
          <cell r="V19">
            <v>1</v>
          </cell>
          <cell r="W19">
            <v>0</v>
          </cell>
          <cell r="X19">
            <v>3</v>
          </cell>
          <cell r="Y19">
            <v>0</v>
          </cell>
          <cell r="Z19">
            <v>1</v>
          </cell>
          <cell r="AA19">
            <v>1</v>
          </cell>
          <cell r="AB19">
            <v>26</v>
          </cell>
          <cell r="AC19">
            <v>0.44067796610169491</v>
          </cell>
          <cell r="AD19">
            <v>4</v>
          </cell>
          <cell r="AE19" t="b">
            <v>1</v>
          </cell>
          <cell r="AF19" t="b">
            <v>0</v>
          </cell>
          <cell r="AG19" t="b">
            <v>0</v>
          </cell>
          <cell r="AH19" t="b">
            <v>0</v>
          </cell>
        </row>
        <row r="20">
          <cell r="A20" t="str">
            <v>Al Jasim Seeni Al Ameen</v>
          </cell>
          <cell r="B20" t="str">
            <v>9A</v>
          </cell>
          <cell r="C20" t="str">
            <v>KT</v>
          </cell>
          <cell r="D20">
            <v>2</v>
          </cell>
          <cell r="E20">
            <v>0</v>
          </cell>
          <cell r="F20">
            <v>0</v>
          </cell>
          <cell r="G20">
            <v>1</v>
          </cell>
          <cell r="H20">
            <v>2</v>
          </cell>
          <cell r="I20">
            <v>2</v>
          </cell>
          <cell r="J20">
            <v>2</v>
          </cell>
          <cell r="K20">
            <v>0</v>
          </cell>
          <cell r="L20">
            <v>1</v>
          </cell>
          <cell r="M20">
            <v>0</v>
          </cell>
          <cell r="N20">
            <v>0</v>
          </cell>
          <cell r="O20">
            <v>0</v>
          </cell>
          <cell r="P20">
            <v>2</v>
          </cell>
          <cell r="Q20">
            <v>3</v>
          </cell>
          <cell r="R20">
            <v>0</v>
          </cell>
          <cell r="S20">
            <v>2</v>
          </cell>
          <cell r="T20">
            <v>0</v>
          </cell>
          <cell r="U20">
            <v>2</v>
          </cell>
          <cell r="V20">
            <v>1</v>
          </cell>
          <cell r="W20">
            <v>1</v>
          </cell>
          <cell r="X20">
            <v>1</v>
          </cell>
          <cell r="Y20">
            <v>0</v>
          </cell>
          <cell r="Z20">
            <v>1</v>
          </cell>
          <cell r="AA20">
            <v>3</v>
          </cell>
          <cell r="AB20">
            <v>26</v>
          </cell>
          <cell r="AC20">
            <v>0.44067796610169491</v>
          </cell>
          <cell r="AD20">
            <v>4</v>
          </cell>
          <cell r="AE20" t="b">
            <v>1</v>
          </cell>
          <cell r="AF20" t="b">
            <v>1</v>
          </cell>
          <cell r="AG20" t="b">
            <v>0</v>
          </cell>
          <cell r="AH20" t="b">
            <v>0</v>
          </cell>
        </row>
        <row r="21">
          <cell r="A21" t="str">
            <v>Abhay Shenoy Panchamal</v>
          </cell>
          <cell r="B21" t="str">
            <v>9A</v>
          </cell>
          <cell r="D21">
            <v>2</v>
          </cell>
          <cell r="E21">
            <v>3</v>
          </cell>
          <cell r="F21">
            <v>1</v>
          </cell>
          <cell r="G21">
            <v>2</v>
          </cell>
          <cell r="H21">
            <v>3</v>
          </cell>
          <cell r="I21">
            <v>3</v>
          </cell>
          <cell r="J21">
            <v>2</v>
          </cell>
          <cell r="K21">
            <v>0</v>
          </cell>
          <cell r="L21">
            <v>1</v>
          </cell>
          <cell r="M21">
            <v>1</v>
          </cell>
          <cell r="N21">
            <v>1</v>
          </cell>
          <cell r="O21">
            <v>0</v>
          </cell>
          <cell r="P21">
            <v>2</v>
          </cell>
          <cell r="Q21">
            <v>4</v>
          </cell>
          <cell r="R21">
            <v>1</v>
          </cell>
          <cell r="S21">
            <v>1</v>
          </cell>
          <cell r="T21">
            <v>2</v>
          </cell>
          <cell r="U21">
            <v>2</v>
          </cell>
          <cell r="V21">
            <v>2</v>
          </cell>
          <cell r="W21">
            <v>1</v>
          </cell>
          <cell r="X21">
            <v>4</v>
          </cell>
          <cell r="Y21">
            <v>0</v>
          </cell>
          <cell r="Z21">
            <v>1</v>
          </cell>
          <cell r="AA21">
            <v>3</v>
          </cell>
          <cell r="AB21">
            <v>42</v>
          </cell>
          <cell r="AC21">
            <v>0.71186440677966101</v>
          </cell>
          <cell r="AD21">
            <v>7</v>
          </cell>
          <cell r="AE21" t="b">
            <v>0</v>
          </cell>
          <cell r="AF21" t="b">
            <v>0</v>
          </cell>
          <cell r="AG21" t="b">
            <v>0</v>
          </cell>
          <cell r="AH21" t="b">
            <v>1</v>
          </cell>
        </row>
        <row r="22">
          <cell r="A22" t="str">
            <v>Maulik Sinha</v>
          </cell>
          <cell r="B22" t="str">
            <v>9A</v>
          </cell>
          <cell r="D22">
            <v>1</v>
          </cell>
          <cell r="E22">
            <v>3</v>
          </cell>
          <cell r="F22">
            <v>1</v>
          </cell>
          <cell r="G22">
            <v>2</v>
          </cell>
          <cell r="H22">
            <v>3</v>
          </cell>
          <cell r="I22">
            <v>3</v>
          </cell>
          <cell r="J22">
            <v>2</v>
          </cell>
          <cell r="K22">
            <v>1</v>
          </cell>
          <cell r="L22">
            <v>0</v>
          </cell>
          <cell r="M22">
            <v>1</v>
          </cell>
          <cell r="N22">
            <v>0</v>
          </cell>
          <cell r="O22">
            <v>2</v>
          </cell>
          <cell r="P22">
            <v>1</v>
          </cell>
          <cell r="Q22">
            <v>4</v>
          </cell>
          <cell r="R22">
            <v>0</v>
          </cell>
          <cell r="S22">
            <v>2</v>
          </cell>
          <cell r="T22">
            <v>2</v>
          </cell>
          <cell r="U22">
            <v>2</v>
          </cell>
          <cell r="V22">
            <v>2</v>
          </cell>
          <cell r="W22">
            <v>1</v>
          </cell>
          <cell r="X22">
            <v>4</v>
          </cell>
          <cell r="Y22">
            <v>0</v>
          </cell>
          <cell r="Z22">
            <v>1</v>
          </cell>
          <cell r="AA22">
            <v>2</v>
          </cell>
          <cell r="AB22">
            <v>40</v>
          </cell>
          <cell r="AC22">
            <v>0.67796610169491522</v>
          </cell>
          <cell r="AD22">
            <v>6</v>
          </cell>
          <cell r="AE22" t="b">
            <v>0</v>
          </cell>
          <cell r="AF22" t="b">
            <v>0</v>
          </cell>
          <cell r="AG22" t="b">
            <v>0</v>
          </cell>
          <cell r="AH22" t="b">
            <v>1</v>
          </cell>
        </row>
        <row r="23">
          <cell r="A23" t="str">
            <v>Ronith Tatikonda</v>
          </cell>
          <cell r="B23" t="str">
            <v>9A</v>
          </cell>
          <cell r="C23" t="str">
            <v>B</v>
          </cell>
          <cell r="D23">
            <v>1</v>
          </cell>
          <cell r="E23">
            <v>0</v>
          </cell>
          <cell r="F23">
            <v>1</v>
          </cell>
          <cell r="G23">
            <v>1</v>
          </cell>
          <cell r="H23">
            <v>2</v>
          </cell>
          <cell r="I23">
            <v>1</v>
          </cell>
          <cell r="J23">
            <v>2</v>
          </cell>
          <cell r="K23">
            <v>1</v>
          </cell>
          <cell r="L23">
            <v>1</v>
          </cell>
          <cell r="M23">
            <v>1</v>
          </cell>
          <cell r="N23">
            <v>0</v>
          </cell>
          <cell r="O23">
            <v>0</v>
          </cell>
          <cell r="P23">
            <v>1</v>
          </cell>
          <cell r="Q23">
            <v>2</v>
          </cell>
          <cell r="R23">
            <v>0</v>
          </cell>
          <cell r="S23">
            <v>1</v>
          </cell>
          <cell r="T23">
            <v>2</v>
          </cell>
          <cell r="U23">
            <v>2</v>
          </cell>
          <cell r="V23">
            <v>1</v>
          </cell>
          <cell r="W23">
            <v>0</v>
          </cell>
          <cell r="X23">
            <v>1</v>
          </cell>
          <cell r="Y23">
            <v>0</v>
          </cell>
          <cell r="Z23">
            <v>1</v>
          </cell>
          <cell r="AA23">
            <v>2</v>
          </cell>
          <cell r="AB23">
            <v>24</v>
          </cell>
          <cell r="AC23">
            <v>0.40677966101694918</v>
          </cell>
          <cell r="AD23">
            <v>4</v>
          </cell>
          <cell r="AE23" t="b">
            <v>0</v>
          </cell>
          <cell r="AF23" t="b">
            <v>0</v>
          </cell>
          <cell r="AG23" t="b">
            <v>1</v>
          </cell>
          <cell r="AH23" t="b">
            <v>0</v>
          </cell>
        </row>
        <row r="24">
          <cell r="A24" t="str">
            <v>Jude Topple</v>
          </cell>
          <cell r="B24" t="str">
            <v>9A</v>
          </cell>
          <cell r="C24" t="str">
            <v>T</v>
          </cell>
          <cell r="D24">
            <v>2</v>
          </cell>
          <cell r="E24">
            <v>0</v>
          </cell>
          <cell r="F24">
            <v>1</v>
          </cell>
          <cell r="G24">
            <v>1</v>
          </cell>
          <cell r="H24">
            <v>3</v>
          </cell>
          <cell r="I24">
            <v>3</v>
          </cell>
          <cell r="J24">
            <v>2</v>
          </cell>
          <cell r="K24">
            <v>1</v>
          </cell>
          <cell r="L24">
            <v>0</v>
          </cell>
          <cell r="M24">
            <v>1</v>
          </cell>
          <cell r="N24">
            <v>0</v>
          </cell>
          <cell r="O24">
            <v>0</v>
          </cell>
          <cell r="P24">
            <v>2</v>
          </cell>
          <cell r="Q24">
            <v>5</v>
          </cell>
          <cell r="R24">
            <v>0</v>
          </cell>
          <cell r="S24">
            <v>1</v>
          </cell>
          <cell r="T24">
            <v>1</v>
          </cell>
          <cell r="U24">
            <v>1</v>
          </cell>
          <cell r="V24">
            <v>2</v>
          </cell>
          <cell r="W24">
            <v>0</v>
          </cell>
          <cell r="X24">
            <v>1</v>
          </cell>
          <cell r="Y24">
            <v>0</v>
          </cell>
          <cell r="Z24">
            <v>1</v>
          </cell>
          <cell r="AA24">
            <v>2</v>
          </cell>
          <cell r="AB24">
            <v>30</v>
          </cell>
          <cell r="AC24">
            <v>0.50847457627118642</v>
          </cell>
          <cell r="AD24">
            <v>5</v>
          </cell>
          <cell r="AE24" t="b">
            <v>1</v>
          </cell>
          <cell r="AF24" t="b">
            <v>0</v>
          </cell>
          <cell r="AG24" t="b">
            <v>0</v>
          </cell>
          <cell r="AH24" t="b">
            <v>0</v>
          </cell>
        </row>
        <row r="25">
          <cell r="A25" t="str">
            <v>Michael Tovell</v>
          </cell>
          <cell r="B25" t="str">
            <v>9A</v>
          </cell>
          <cell r="D25">
            <v>2</v>
          </cell>
          <cell r="E25">
            <v>1</v>
          </cell>
          <cell r="F25">
            <v>1</v>
          </cell>
          <cell r="G25">
            <v>1</v>
          </cell>
          <cell r="H25">
            <v>3</v>
          </cell>
          <cell r="I25">
            <v>3</v>
          </cell>
          <cell r="J25">
            <v>2</v>
          </cell>
          <cell r="K25">
            <v>1</v>
          </cell>
          <cell r="L25">
            <v>1</v>
          </cell>
          <cell r="M25">
            <v>1</v>
          </cell>
          <cell r="N25">
            <v>0</v>
          </cell>
          <cell r="O25">
            <v>0</v>
          </cell>
          <cell r="P25">
            <v>2</v>
          </cell>
          <cell r="Q25">
            <v>4</v>
          </cell>
          <cell r="R25">
            <v>0</v>
          </cell>
          <cell r="S25">
            <v>1</v>
          </cell>
          <cell r="T25">
            <v>2</v>
          </cell>
          <cell r="U25">
            <v>2</v>
          </cell>
          <cell r="V25">
            <v>2</v>
          </cell>
          <cell r="W25">
            <v>1</v>
          </cell>
          <cell r="X25">
            <v>3</v>
          </cell>
          <cell r="Y25">
            <v>1</v>
          </cell>
          <cell r="Z25">
            <v>1</v>
          </cell>
          <cell r="AA25">
            <v>5</v>
          </cell>
          <cell r="AB25">
            <v>40</v>
          </cell>
          <cell r="AC25">
            <v>0.67796610169491522</v>
          </cell>
          <cell r="AD25">
            <v>6</v>
          </cell>
          <cell r="AE25" t="b">
            <v>0</v>
          </cell>
          <cell r="AF25" t="b">
            <v>0</v>
          </cell>
          <cell r="AG25" t="b">
            <v>0</v>
          </cell>
          <cell r="AH25" t="b">
            <v>1</v>
          </cell>
        </row>
        <row r="26">
          <cell r="A26" t="str">
            <v>Paul Tovell</v>
          </cell>
          <cell r="B26" t="str">
            <v>9A</v>
          </cell>
          <cell r="D26">
            <v>2</v>
          </cell>
          <cell r="E26">
            <v>2</v>
          </cell>
          <cell r="F26">
            <v>1</v>
          </cell>
          <cell r="G26">
            <v>2</v>
          </cell>
          <cell r="H26">
            <v>3</v>
          </cell>
          <cell r="I26">
            <v>3</v>
          </cell>
          <cell r="J26">
            <v>2</v>
          </cell>
          <cell r="K26">
            <v>1</v>
          </cell>
          <cell r="L26">
            <v>1</v>
          </cell>
          <cell r="M26">
            <v>1</v>
          </cell>
          <cell r="N26">
            <v>1</v>
          </cell>
          <cell r="O26">
            <v>2</v>
          </cell>
          <cell r="P26">
            <v>2</v>
          </cell>
          <cell r="Q26">
            <v>5</v>
          </cell>
          <cell r="R26">
            <v>1</v>
          </cell>
          <cell r="S26">
            <v>2</v>
          </cell>
          <cell r="T26">
            <v>2</v>
          </cell>
          <cell r="U26">
            <v>0</v>
          </cell>
          <cell r="V26">
            <v>1</v>
          </cell>
          <cell r="W26">
            <v>1</v>
          </cell>
          <cell r="X26">
            <v>2</v>
          </cell>
          <cell r="Y26">
            <v>1</v>
          </cell>
          <cell r="Z26">
            <v>1</v>
          </cell>
          <cell r="AA26">
            <v>2</v>
          </cell>
          <cell r="AB26">
            <v>41</v>
          </cell>
          <cell r="AC26">
            <v>0.69491525423728817</v>
          </cell>
          <cell r="AD26">
            <v>6</v>
          </cell>
          <cell r="AE26" t="b">
            <v>0</v>
          </cell>
          <cell r="AF26" t="b">
            <v>0</v>
          </cell>
          <cell r="AG26" t="b">
            <v>0</v>
          </cell>
          <cell r="AH26" t="b">
            <v>1</v>
          </cell>
        </row>
        <row r="27">
          <cell r="A27" t="str">
            <v>Andi Zhao</v>
          </cell>
          <cell r="B27" t="str">
            <v>9A</v>
          </cell>
          <cell r="C27" t="str">
            <v>B</v>
          </cell>
          <cell r="D27">
            <v>1</v>
          </cell>
          <cell r="E27">
            <v>1</v>
          </cell>
          <cell r="F27">
            <v>1</v>
          </cell>
          <cell r="G27">
            <v>1</v>
          </cell>
          <cell r="H27">
            <v>3</v>
          </cell>
          <cell r="I27">
            <v>3</v>
          </cell>
          <cell r="J27">
            <v>0</v>
          </cell>
          <cell r="K27">
            <v>1</v>
          </cell>
          <cell r="L27">
            <v>1</v>
          </cell>
          <cell r="M27">
            <v>1</v>
          </cell>
          <cell r="N27">
            <v>1</v>
          </cell>
          <cell r="O27">
            <v>0</v>
          </cell>
          <cell r="P27">
            <v>1</v>
          </cell>
          <cell r="Q27">
            <v>3</v>
          </cell>
          <cell r="R27">
            <v>1</v>
          </cell>
          <cell r="S27">
            <v>2</v>
          </cell>
          <cell r="T27">
            <v>1</v>
          </cell>
          <cell r="U27">
            <v>3</v>
          </cell>
          <cell r="V27">
            <v>2</v>
          </cell>
          <cell r="W27">
            <v>1</v>
          </cell>
          <cell r="X27">
            <v>3</v>
          </cell>
          <cell r="Y27">
            <v>0</v>
          </cell>
          <cell r="Z27">
            <v>1</v>
          </cell>
          <cell r="AA27">
            <v>2</v>
          </cell>
          <cell r="AB27">
            <v>34</v>
          </cell>
          <cell r="AC27">
            <v>0.57627118644067798</v>
          </cell>
          <cell r="AD27">
            <v>5</v>
          </cell>
          <cell r="AE27" t="b">
            <v>0</v>
          </cell>
          <cell r="AF27" t="b">
            <v>0</v>
          </cell>
          <cell r="AG27" t="b">
            <v>1</v>
          </cell>
          <cell r="AH27" t="b">
            <v>0</v>
          </cell>
        </row>
        <row r="28">
          <cell r="A28" t="str">
            <v>9A average</v>
          </cell>
          <cell r="B28" t="str">
            <v>9A</v>
          </cell>
          <cell r="D28">
            <v>1.3913043478260869</v>
          </cell>
          <cell r="E28">
            <v>1.4347826086956521</v>
          </cell>
          <cell r="F28">
            <v>0.86956521739130432</v>
          </cell>
          <cell r="G28">
            <v>1.3913043478260869</v>
          </cell>
          <cell r="H28">
            <v>2.3913043478260869</v>
          </cell>
          <cell r="I28">
            <v>2.6086956521739131</v>
          </cell>
          <cell r="J28">
            <v>1.7391304347826086</v>
          </cell>
          <cell r="K28">
            <v>0.82608695652173914</v>
          </cell>
          <cell r="L28">
            <v>0.78260869565217395</v>
          </cell>
          <cell r="M28">
            <v>0.78260869565217395</v>
          </cell>
          <cell r="N28">
            <v>0.60869565217391308</v>
          </cell>
          <cell r="O28">
            <v>1.0434782608695652</v>
          </cell>
          <cell r="P28">
            <v>1.3478260869565217</v>
          </cell>
          <cell r="Q28">
            <v>3.7391304347826089</v>
          </cell>
          <cell r="R28">
            <v>0.43478260869565216</v>
          </cell>
          <cell r="S28">
            <v>1.3478260869565217</v>
          </cell>
          <cell r="T28">
            <v>1.3043478260869565</v>
          </cell>
          <cell r="U28">
            <v>2.4347826086956523</v>
          </cell>
          <cell r="V28">
            <v>1.3913043478260869</v>
          </cell>
          <cell r="W28">
            <v>0.73913043478260865</v>
          </cell>
          <cell r="X28">
            <v>3.1304347826086958</v>
          </cell>
          <cell r="Y28">
            <v>0.2608695652173913</v>
          </cell>
          <cell r="Z28">
            <v>0.78260869565217395</v>
          </cell>
          <cell r="AA28">
            <v>2.7826086956521738</v>
          </cell>
          <cell r="AB28">
            <v>35.565217391304351</v>
          </cell>
          <cell r="AC28">
            <v>0.60280029476787034</v>
          </cell>
          <cell r="AD28">
            <v>6</v>
          </cell>
          <cell r="AE28" t="b">
            <v>0</v>
          </cell>
          <cell r="AF28" t="b">
            <v>0</v>
          </cell>
          <cell r="AG28" t="b">
            <v>0</v>
          </cell>
          <cell r="AH28" t="b">
            <v>1</v>
          </cell>
        </row>
        <row r="29">
          <cell r="A29" t="str">
            <v xml:space="preserve"> </v>
          </cell>
          <cell r="AB29">
            <v>0</v>
          </cell>
          <cell r="AC29">
            <v>0</v>
          </cell>
          <cell r="AD29" t="str">
            <v>U</v>
          </cell>
          <cell r="AE29" t="b">
            <v>0</v>
          </cell>
          <cell r="AF29" t="b">
            <v>0</v>
          </cell>
          <cell r="AG29" t="b">
            <v>0</v>
          </cell>
          <cell r="AH29" t="b">
            <v>1</v>
          </cell>
        </row>
        <row r="30">
          <cell r="A30" t="str">
            <v>Abhiram Anumolu</v>
          </cell>
          <cell r="B30" t="str">
            <v>9B</v>
          </cell>
          <cell r="D30">
            <v>0</v>
          </cell>
          <cell r="E30">
            <v>0</v>
          </cell>
          <cell r="F30">
            <v>1</v>
          </cell>
          <cell r="G30">
            <v>1</v>
          </cell>
          <cell r="H30">
            <v>2</v>
          </cell>
          <cell r="I30">
            <v>2</v>
          </cell>
          <cell r="J30">
            <v>2</v>
          </cell>
          <cell r="K30">
            <v>1</v>
          </cell>
          <cell r="L30">
            <v>0</v>
          </cell>
          <cell r="M30">
            <v>1</v>
          </cell>
          <cell r="N30">
            <v>1</v>
          </cell>
          <cell r="O30">
            <v>0</v>
          </cell>
          <cell r="P30">
            <v>1</v>
          </cell>
          <cell r="Q30">
            <v>4</v>
          </cell>
          <cell r="R30">
            <v>0</v>
          </cell>
          <cell r="S30">
            <v>2</v>
          </cell>
          <cell r="T30">
            <v>1</v>
          </cell>
          <cell r="U30">
            <v>2</v>
          </cell>
          <cell r="V30">
            <v>1</v>
          </cell>
          <cell r="W30">
            <v>0</v>
          </cell>
          <cell r="X30">
            <v>4</v>
          </cell>
          <cell r="Y30">
            <v>0</v>
          </cell>
          <cell r="Z30">
            <v>0</v>
          </cell>
          <cell r="AA30">
            <v>0</v>
          </cell>
          <cell r="AB30">
            <v>26</v>
          </cell>
          <cell r="AC30">
            <v>0.44067796610169491</v>
          </cell>
          <cell r="AD30">
            <v>4</v>
          </cell>
          <cell r="AE30" t="b">
            <v>0</v>
          </cell>
          <cell r="AF30" t="b">
            <v>0</v>
          </cell>
          <cell r="AG30" t="b">
            <v>0</v>
          </cell>
          <cell r="AH30" t="b">
            <v>1</v>
          </cell>
        </row>
        <row r="31">
          <cell r="A31" t="str">
            <v>Darsh Arishanapalli</v>
          </cell>
          <cell r="B31" t="str">
            <v>9B</v>
          </cell>
          <cell r="C31" t="str">
            <v>T</v>
          </cell>
          <cell r="D31">
            <v>2</v>
          </cell>
          <cell r="E31">
            <v>3</v>
          </cell>
          <cell r="F31">
            <v>0</v>
          </cell>
          <cell r="G31">
            <v>2</v>
          </cell>
          <cell r="H31">
            <v>3</v>
          </cell>
          <cell r="I31">
            <v>3</v>
          </cell>
          <cell r="J31">
            <v>2</v>
          </cell>
          <cell r="K31">
            <v>1</v>
          </cell>
          <cell r="L31">
            <v>1</v>
          </cell>
          <cell r="M31">
            <v>1</v>
          </cell>
          <cell r="N31">
            <v>0</v>
          </cell>
          <cell r="O31">
            <v>0</v>
          </cell>
          <cell r="P31">
            <v>2</v>
          </cell>
          <cell r="Q31">
            <v>2</v>
          </cell>
          <cell r="R31">
            <v>0</v>
          </cell>
          <cell r="S31">
            <v>2</v>
          </cell>
          <cell r="T31">
            <v>1</v>
          </cell>
          <cell r="U31">
            <v>2</v>
          </cell>
          <cell r="V31">
            <v>2</v>
          </cell>
          <cell r="W31">
            <v>0</v>
          </cell>
          <cell r="X31">
            <v>3</v>
          </cell>
          <cell r="Y31">
            <v>0</v>
          </cell>
          <cell r="Z31">
            <v>1</v>
          </cell>
          <cell r="AA31">
            <v>2</v>
          </cell>
          <cell r="AB31">
            <v>35</v>
          </cell>
          <cell r="AC31">
            <v>0.59322033898305082</v>
          </cell>
          <cell r="AD31">
            <v>5</v>
          </cell>
          <cell r="AE31" t="b">
            <v>1</v>
          </cell>
          <cell r="AF31" t="b">
            <v>0</v>
          </cell>
          <cell r="AG31" t="b">
            <v>0</v>
          </cell>
          <cell r="AH31" t="b">
            <v>0</v>
          </cell>
        </row>
        <row r="32">
          <cell r="A32" t="str">
            <v>Kevin Awoseyila</v>
          </cell>
          <cell r="B32" t="str">
            <v>9B</v>
          </cell>
          <cell r="C32" t="str">
            <v>B</v>
          </cell>
          <cell r="D32">
            <v>1</v>
          </cell>
          <cell r="E32">
            <v>2</v>
          </cell>
          <cell r="F32">
            <v>1</v>
          </cell>
          <cell r="G32">
            <v>1</v>
          </cell>
          <cell r="H32">
            <v>3</v>
          </cell>
          <cell r="I32">
            <v>3</v>
          </cell>
          <cell r="J32">
            <v>2</v>
          </cell>
          <cell r="K32">
            <v>1</v>
          </cell>
          <cell r="L32">
            <v>1</v>
          </cell>
          <cell r="M32">
            <v>0</v>
          </cell>
          <cell r="N32">
            <v>2</v>
          </cell>
          <cell r="O32">
            <v>0</v>
          </cell>
          <cell r="P32">
            <v>1</v>
          </cell>
          <cell r="Q32">
            <v>4</v>
          </cell>
          <cell r="R32">
            <v>0</v>
          </cell>
          <cell r="S32">
            <v>2</v>
          </cell>
          <cell r="T32">
            <v>1</v>
          </cell>
          <cell r="U32">
            <v>3</v>
          </cell>
          <cell r="V32">
            <v>1</v>
          </cell>
          <cell r="W32">
            <v>1</v>
          </cell>
          <cell r="X32">
            <v>6</v>
          </cell>
          <cell r="Y32">
            <v>1</v>
          </cell>
          <cell r="Z32">
            <v>1</v>
          </cell>
          <cell r="AA32">
            <v>2</v>
          </cell>
          <cell r="AB32">
            <v>40</v>
          </cell>
          <cell r="AC32">
            <v>0.67796610169491522</v>
          </cell>
          <cell r="AD32">
            <v>6</v>
          </cell>
          <cell r="AE32" t="b">
            <v>0</v>
          </cell>
          <cell r="AF32" t="b">
            <v>0</v>
          </cell>
          <cell r="AG32" t="b">
            <v>1</v>
          </cell>
          <cell r="AH32" t="b">
            <v>0</v>
          </cell>
        </row>
        <row r="33">
          <cell r="A33" t="str">
            <v>Zakyir Basher</v>
          </cell>
          <cell r="B33" t="str">
            <v>9B</v>
          </cell>
          <cell r="D33">
            <v>2</v>
          </cell>
          <cell r="E33">
            <v>4</v>
          </cell>
          <cell r="F33">
            <v>1</v>
          </cell>
          <cell r="G33">
            <v>2</v>
          </cell>
          <cell r="H33">
            <v>3</v>
          </cell>
          <cell r="I33">
            <v>3</v>
          </cell>
          <cell r="J33">
            <v>2</v>
          </cell>
          <cell r="K33">
            <v>1</v>
          </cell>
          <cell r="L33">
            <v>1</v>
          </cell>
          <cell r="M33">
            <v>1</v>
          </cell>
          <cell r="N33">
            <v>2</v>
          </cell>
          <cell r="O33">
            <v>2</v>
          </cell>
          <cell r="P33">
            <v>1</v>
          </cell>
          <cell r="Q33">
            <v>7</v>
          </cell>
          <cell r="R33">
            <v>0</v>
          </cell>
          <cell r="S33">
            <v>2</v>
          </cell>
          <cell r="T33">
            <v>2</v>
          </cell>
          <cell r="U33">
            <v>3</v>
          </cell>
          <cell r="V33">
            <v>0</v>
          </cell>
          <cell r="W33">
            <v>1</v>
          </cell>
          <cell r="X33">
            <v>6</v>
          </cell>
          <cell r="Y33">
            <v>1</v>
          </cell>
          <cell r="Z33">
            <v>1</v>
          </cell>
          <cell r="AA33">
            <v>5</v>
          </cell>
          <cell r="AB33">
            <v>53</v>
          </cell>
          <cell r="AC33">
            <v>0.89830508474576276</v>
          </cell>
          <cell r="AD33">
            <v>8</v>
          </cell>
          <cell r="AE33" t="b">
            <v>0</v>
          </cell>
          <cell r="AF33" t="b">
            <v>0</v>
          </cell>
          <cell r="AG33" t="b">
            <v>0</v>
          </cell>
          <cell r="AH33" t="b">
            <v>1</v>
          </cell>
        </row>
        <row r="34">
          <cell r="A34" t="str">
            <v>Devayan Chatterjee</v>
          </cell>
          <cell r="B34" t="str">
            <v>9B</v>
          </cell>
          <cell r="D34">
            <v>2</v>
          </cell>
          <cell r="E34">
            <v>0</v>
          </cell>
          <cell r="F34">
            <v>1</v>
          </cell>
          <cell r="G34">
            <v>1</v>
          </cell>
          <cell r="H34">
            <v>3</v>
          </cell>
          <cell r="I34">
            <v>3</v>
          </cell>
          <cell r="J34">
            <v>2</v>
          </cell>
          <cell r="K34">
            <v>1</v>
          </cell>
          <cell r="L34">
            <v>1</v>
          </cell>
          <cell r="M34">
            <v>1</v>
          </cell>
          <cell r="N34">
            <v>2</v>
          </cell>
          <cell r="O34">
            <v>0</v>
          </cell>
          <cell r="P34">
            <v>2</v>
          </cell>
          <cell r="Q34">
            <v>5</v>
          </cell>
          <cell r="R34">
            <v>0</v>
          </cell>
          <cell r="S34">
            <v>2</v>
          </cell>
          <cell r="T34">
            <v>2</v>
          </cell>
          <cell r="U34">
            <v>4</v>
          </cell>
          <cell r="V34">
            <v>2</v>
          </cell>
          <cell r="W34">
            <v>0</v>
          </cell>
          <cell r="X34">
            <v>6</v>
          </cell>
          <cell r="Y34">
            <v>1</v>
          </cell>
          <cell r="Z34">
            <v>1</v>
          </cell>
          <cell r="AA34">
            <v>4</v>
          </cell>
          <cell r="AB34">
            <v>46</v>
          </cell>
          <cell r="AC34">
            <v>0.77966101694915257</v>
          </cell>
          <cell r="AD34">
            <v>7</v>
          </cell>
          <cell r="AE34" t="b">
            <v>0</v>
          </cell>
          <cell r="AF34" t="b">
            <v>0</v>
          </cell>
          <cell r="AG34" t="b">
            <v>0</v>
          </cell>
          <cell r="AH34" t="b">
            <v>1</v>
          </cell>
        </row>
        <row r="35">
          <cell r="A35" t="str">
            <v>Faiyaz Choudhury</v>
          </cell>
          <cell r="B35" t="str">
            <v>9B</v>
          </cell>
          <cell r="D35">
            <v>2</v>
          </cell>
          <cell r="E35">
            <v>1</v>
          </cell>
          <cell r="F35">
            <v>1</v>
          </cell>
          <cell r="G35">
            <v>2</v>
          </cell>
          <cell r="H35">
            <v>3</v>
          </cell>
          <cell r="I35">
            <v>3</v>
          </cell>
          <cell r="J35">
            <v>2</v>
          </cell>
          <cell r="K35">
            <v>1</v>
          </cell>
          <cell r="L35">
            <v>1</v>
          </cell>
          <cell r="M35">
            <v>1</v>
          </cell>
          <cell r="N35">
            <v>2</v>
          </cell>
          <cell r="O35">
            <v>2</v>
          </cell>
          <cell r="P35">
            <v>2</v>
          </cell>
          <cell r="Q35">
            <v>7</v>
          </cell>
          <cell r="R35">
            <v>1</v>
          </cell>
          <cell r="S35">
            <v>2</v>
          </cell>
          <cell r="T35">
            <v>1</v>
          </cell>
          <cell r="U35">
            <v>2</v>
          </cell>
          <cell r="V35">
            <v>1</v>
          </cell>
          <cell r="W35">
            <v>1</v>
          </cell>
          <cell r="X35">
            <v>6</v>
          </cell>
          <cell r="Y35">
            <v>1</v>
          </cell>
          <cell r="Z35">
            <v>1</v>
          </cell>
          <cell r="AA35">
            <v>5</v>
          </cell>
          <cell r="AB35">
            <v>51</v>
          </cell>
          <cell r="AC35">
            <v>0.86440677966101698</v>
          </cell>
          <cell r="AD35">
            <v>8</v>
          </cell>
          <cell r="AE35" t="b">
            <v>0</v>
          </cell>
          <cell r="AF35" t="b">
            <v>0</v>
          </cell>
          <cell r="AG35" t="b">
            <v>0</v>
          </cell>
          <cell r="AH35" t="b">
            <v>1</v>
          </cell>
        </row>
        <row r="36">
          <cell r="A36" t="str">
            <v>Max Claridge</v>
          </cell>
          <cell r="B36" t="str">
            <v>9B</v>
          </cell>
          <cell r="C36" t="str">
            <v>K</v>
          </cell>
          <cell r="D36">
            <v>2</v>
          </cell>
          <cell r="E36">
            <v>0</v>
          </cell>
          <cell r="F36">
            <v>0</v>
          </cell>
          <cell r="G36">
            <v>2</v>
          </cell>
          <cell r="H36">
            <v>1</v>
          </cell>
          <cell r="I36">
            <v>3</v>
          </cell>
          <cell r="J36">
            <v>2</v>
          </cell>
          <cell r="K36">
            <v>1</v>
          </cell>
          <cell r="L36">
            <v>1</v>
          </cell>
          <cell r="M36">
            <v>1</v>
          </cell>
          <cell r="N36">
            <v>1</v>
          </cell>
          <cell r="O36">
            <v>2</v>
          </cell>
          <cell r="P36">
            <v>2</v>
          </cell>
          <cell r="Q36">
            <v>7</v>
          </cell>
          <cell r="R36">
            <v>0</v>
          </cell>
          <cell r="S36">
            <v>2</v>
          </cell>
          <cell r="T36">
            <v>2</v>
          </cell>
          <cell r="U36">
            <v>1</v>
          </cell>
          <cell r="V36">
            <v>0</v>
          </cell>
          <cell r="W36">
            <v>1</v>
          </cell>
          <cell r="X36">
            <v>6</v>
          </cell>
          <cell r="Y36">
            <v>0</v>
          </cell>
          <cell r="Z36">
            <v>1</v>
          </cell>
          <cell r="AA36">
            <v>6</v>
          </cell>
          <cell r="AB36">
            <v>44</v>
          </cell>
          <cell r="AC36">
            <v>0.74576271186440679</v>
          </cell>
          <cell r="AD36">
            <v>7</v>
          </cell>
          <cell r="AE36" t="b">
            <v>0</v>
          </cell>
          <cell r="AF36" t="b">
            <v>1</v>
          </cell>
          <cell r="AG36" t="b">
            <v>0</v>
          </cell>
          <cell r="AH36" t="b">
            <v>0</v>
          </cell>
        </row>
        <row r="37">
          <cell r="A37" t="str">
            <v>YingGe Hong</v>
          </cell>
          <cell r="B37" t="str">
            <v>9B</v>
          </cell>
          <cell r="C37" t="str">
            <v>K</v>
          </cell>
          <cell r="D37">
            <v>2</v>
          </cell>
          <cell r="E37">
            <v>2</v>
          </cell>
          <cell r="F37">
            <v>0</v>
          </cell>
          <cell r="G37">
            <v>2</v>
          </cell>
          <cell r="H37">
            <v>3</v>
          </cell>
          <cell r="I37">
            <v>2</v>
          </cell>
          <cell r="J37">
            <v>2</v>
          </cell>
          <cell r="K37">
            <v>1</v>
          </cell>
          <cell r="L37">
            <v>1</v>
          </cell>
          <cell r="M37">
            <v>1</v>
          </cell>
          <cell r="N37">
            <v>1</v>
          </cell>
          <cell r="O37">
            <v>0</v>
          </cell>
          <cell r="P37">
            <v>2</v>
          </cell>
          <cell r="Q37">
            <v>6</v>
          </cell>
          <cell r="R37">
            <v>0</v>
          </cell>
          <cell r="S37">
            <v>1</v>
          </cell>
          <cell r="T37">
            <v>1</v>
          </cell>
          <cell r="U37">
            <v>2</v>
          </cell>
          <cell r="V37">
            <v>2</v>
          </cell>
          <cell r="W37">
            <v>1</v>
          </cell>
          <cell r="X37">
            <v>6</v>
          </cell>
          <cell r="Y37">
            <v>0</v>
          </cell>
          <cell r="Z37">
            <v>1</v>
          </cell>
          <cell r="AA37">
            <v>6</v>
          </cell>
          <cell r="AB37">
            <v>45</v>
          </cell>
          <cell r="AC37">
            <v>0.76271186440677963</v>
          </cell>
          <cell r="AD37">
            <v>7</v>
          </cell>
          <cell r="AE37" t="b">
            <v>0</v>
          </cell>
          <cell r="AF37" t="b">
            <v>1</v>
          </cell>
          <cell r="AG37" t="b">
            <v>0</v>
          </cell>
          <cell r="AH37" t="b">
            <v>0</v>
          </cell>
        </row>
        <row r="38">
          <cell r="A38" t="str">
            <v>Zayd Ibrahim</v>
          </cell>
          <cell r="B38" t="str">
            <v>9B</v>
          </cell>
          <cell r="D38">
            <v>2</v>
          </cell>
          <cell r="E38">
            <v>0</v>
          </cell>
          <cell r="F38">
            <v>1</v>
          </cell>
          <cell r="G38">
            <v>1</v>
          </cell>
          <cell r="H38">
            <v>1</v>
          </cell>
          <cell r="I38">
            <v>3</v>
          </cell>
          <cell r="J38">
            <v>2</v>
          </cell>
          <cell r="K38">
            <v>1</v>
          </cell>
          <cell r="L38">
            <v>1</v>
          </cell>
          <cell r="M38">
            <v>0</v>
          </cell>
          <cell r="N38">
            <v>0</v>
          </cell>
          <cell r="O38">
            <v>0</v>
          </cell>
          <cell r="P38">
            <v>2</v>
          </cell>
          <cell r="Q38">
            <v>5</v>
          </cell>
          <cell r="R38">
            <v>0</v>
          </cell>
          <cell r="S38">
            <v>2</v>
          </cell>
          <cell r="T38">
            <v>2</v>
          </cell>
          <cell r="U38">
            <v>3</v>
          </cell>
          <cell r="V38">
            <v>1</v>
          </cell>
          <cell r="W38">
            <v>1</v>
          </cell>
          <cell r="X38">
            <v>1</v>
          </cell>
          <cell r="Y38">
            <v>0</v>
          </cell>
          <cell r="Z38">
            <v>1</v>
          </cell>
          <cell r="AA38">
            <v>3</v>
          </cell>
          <cell r="AB38">
            <v>33</v>
          </cell>
          <cell r="AC38">
            <v>0.55932203389830504</v>
          </cell>
          <cell r="AD38">
            <v>5</v>
          </cell>
          <cell r="AE38" t="b">
            <v>0</v>
          </cell>
          <cell r="AF38" t="b">
            <v>0</v>
          </cell>
          <cell r="AG38" t="b">
            <v>0</v>
          </cell>
          <cell r="AH38" t="b">
            <v>1</v>
          </cell>
        </row>
        <row r="39">
          <cell r="A39" t="str">
            <v>Ilham Ibrahimli</v>
          </cell>
          <cell r="B39" t="str">
            <v>9B</v>
          </cell>
          <cell r="D39">
            <v>2</v>
          </cell>
          <cell r="E39">
            <v>2</v>
          </cell>
          <cell r="F39">
            <v>1</v>
          </cell>
          <cell r="G39">
            <v>1</v>
          </cell>
          <cell r="H39">
            <v>3</v>
          </cell>
          <cell r="I39">
            <v>3</v>
          </cell>
          <cell r="J39">
            <v>0</v>
          </cell>
          <cell r="K39">
            <v>1</v>
          </cell>
          <cell r="L39">
            <v>1</v>
          </cell>
          <cell r="M39">
            <v>1</v>
          </cell>
          <cell r="N39">
            <v>1</v>
          </cell>
          <cell r="O39">
            <v>2</v>
          </cell>
          <cell r="P39">
            <v>2</v>
          </cell>
          <cell r="Q39">
            <v>7</v>
          </cell>
          <cell r="R39">
            <v>0</v>
          </cell>
          <cell r="S39">
            <v>2</v>
          </cell>
          <cell r="T39">
            <v>1</v>
          </cell>
          <cell r="U39">
            <v>3</v>
          </cell>
          <cell r="V39">
            <v>1</v>
          </cell>
          <cell r="W39">
            <v>1</v>
          </cell>
          <cell r="X39">
            <v>6</v>
          </cell>
          <cell r="Y39">
            <v>0</v>
          </cell>
          <cell r="Z39">
            <v>1</v>
          </cell>
          <cell r="AA39">
            <v>6</v>
          </cell>
          <cell r="AB39">
            <v>48</v>
          </cell>
          <cell r="AC39">
            <v>0.81355932203389836</v>
          </cell>
          <cell r="AD39">
            <v>8</v>
          </cell>
          <cell r="AE39" t="b">
            <v>0</v>
          </cell>
          <cell r="AF39" t="b">
            <v>0</v>
          </cell>
          <cell r="AG39" t="b">
            <v>0</v>
          </cell>
          <cell r="AH39" t="b">
            <v>1</v>
          </cell>
        </row>
        <row r="40">
          <cell r="A40" t="str">
            <v>Tavrehat Jaggi</v>
          </cell>
          <cell r="B40" t="str">
            <v>9B</v>
          </cell>
          <cell r="D40">
            <v>2</v>
          </cell>
          <cell r="E40">
            <v>3</v>
          </cell>
          <cell r="F40">
            <v>1</v>
          </cell>
          <cell r="G40">
            <v>1</v>
          </cell>
          <cell r="H40">
            <v>3</v>
          </cell>
          <cell r="I40">
            <v>3</v>
          </cell>
          <cell r="J40">
            <v>2</v>
          </cell>
          <cell r="K40">
            <v>1</v>
          </cell>
          <cell r="L40">
            <v>0</v>
          </cell>
          <cell r="M40">
            <v>1</v>
          </cell>
          <cell r="N40">
            <v>1</v>
          </cell>
          <cell r="O40">
            <v>0</v>
          </cell>
          <cell r="P40">
            <v>2</v>
          </cell>
          <cell r="Q40">
            <v>5</v>
          </cell>
          <cell r="R40">
            <v>1</v>
          </cell>
          <cell r="S40">
            <v>2</v>
          </cell>
          <cell r="T40">
            <v>2</v>
          </cell>
          <cell r="U40">
            <v>4</v>
          </cell>
          <cell r="V40">
            <v>1</v>
          </cell>
          <cell r="W40">
            <v>1</v>
          </cell>
          <cell r="X40">
            <v>4</v>
          </cell>
          <cell r="Y40">
            <v>1</v>
          </cell>
          <cell r="Z40">
            <v>1</v>
          </cell>
          <cell r="AA40">
            <v>4</v>
          </cell>
          <cell r="AB40">
            <v>46</v>
          </cell>
          <cell r="AC40">
            <v>0.77966101694915257</v>
          </cell>
          <cell r="AD40">
            <v>7</v>
          </cell>
          <cell r="AE40" t="b">
            <v>0</v>
          </cell>
          <cell r="AF40" t="b">
            <v>0</v>
          </cell>
          <cell r="AG40" t="b">
            <v>0</v>
          </cell>
          <cell r="AH40" t="b">
            <v>1</v>
          </cell>
        </row>
        <row r="41">
          <cell r="A41" t="str">
            <v>Illia Kuleba</v>
          </cell>
          <cell r="B41" t="str">
            <v>9B</v>
          </cell>
          <cell r="D41">
            <v>0</v>
          </cell>
          <cell r="E41">
            <v>0</v>
          </cell>
          <cell r="F41">
            <v>0</v>
          </cell>
          <cell r="G41">
            <v>0</v>
          </cell>
          <cell r="H41">
            <v>3</v>
          </cell>
          <cell r="I41">
            <v>1</v>
          </cell>
          <cell r="J41">
            <v>2</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6</v>
          </cell>
          <cell r="AC41">
            <v>0.10169491525423729</v>
          </cell>
          <cell r="AD41">
            <v>1</v>
          </cell>
          <cell r="AE41" t="b">
            <v>0</v>
          </cell>
          <cell r="AF41" t="b">
            <v>0</v>
          </cell>
          <cell r="AG41" t="b">
            <v>0</v>
          </cell>
          <cell r="AH41" t="b">
            <v>1</v>
          </cell>
        </row>
        <row r="42">
          <cell r="A42" t="str">
            <v>Srihith Sai Mantripragada</v>
          </cell>
          <cell r="B42" t="str">
            <v>9B</v>
          </cell>
          <cell r="D42">
            <v>1</v>
          </cell>
          <cell r="E42">
            <v>2</v>
          </cell>
          <cell r="F42">
            <v>1</v>
          </cell>
          <cell r="G42">
            <v>2</v>
          </cell>
          <cell r="H42">
            <v>3</v>
          </cell>
          <cell r="I42">
            <v>3</v>
          </cell>
          <cell r="J42">
            <v>2</v>
          </cell>
          <cell r="K42">
            <v>1</v>
          </cell>
          <cell r="L42">
            <v>1</v>
          </cell>
          <cell r="M42">
            <v>1</v>
          </cell>
          <cell r="N42">
            <v>1</v>
          </cell>
          <cell r="O42">
            <v>0</v>
          </cell>
          <cell r="P42">
            <v>1</v>
          </cell>
          <cell r="Q42">
            <v>5</v>
          </cell>
          <cell r="R42">
            <v>1</v>
          </cell>
          <cell r="S42">
            <v>2</v>
          </cell>
          <cell r="T42">
            <v>2</v>
          </cell>
          <cell r="U42">
            <v>2</v>
          </cell>
          <cell r="V42">
            <v>2</v>
          </cell>
          <cell r="W42">
            <v>1</v>
          </cell>
          <cell r="X42">
            <v>3</v>
          </cell>
          <cell r="Y42">
            <v>0</v>
          </cell>
          <cell r="Z42">
            <v>1</v>
          </cell>
          <cell r="AA42">
            <v>4</v>
          </cell>
          <cell r="AB42">
            <v>42</v>
          </cell>
          <cell r="AC42">
            <v>0.71186440677966101</v>
          </cell>
          <cell r="AD42">
            <v>7</v>
          </cell>
          <cell r="AE42" t="b">
            <v>0</v>
          </cell>
          <cell r="AF42" t="b">
            <v>0</v>
          </cell>
          <cell r="AG42" t="b">
            <v>0</v>
          </cell>
          <cell r="AH42" t="b">
            <v>1</v>
          </cell>
        </row>
        <row r="43">
          <cell r="A43" t="str">
            <v>San Manuchar</v>
          </cell>
          <cell r="B43" t="str">
            <v>9B</v>
          </cell>
          <cell r="C43" t="str">
            <v>T</v>
          </cell>
          <cell r="D43">
            <v>2</v>
          </cell>
          <cell r="E43">
            <v>1</v>
          </cell>
          <cell r="F43">
            <v>1</v>
          </cell>
          <cell r="G43">
            <v>1</v>
          </cell>
          <cell r="H43">
            <v>3</v>
          </cell>
          <cell r="I43">
            <v>3</v>
          </cell>
          <cell r="J43">
            <v>2</v>
          </cell>
          <cell r="K43">
            <v>1</v>
          </cell>
          <cell r="L43">
            <v>0</v>
          </cell>
          <cell r="M43">
            <v>1</v>
          </cell>
          <cell r="N43">
            <v>1</v>
          </cell>
          <cell r="O43">
            <v>0</v>
          </cell>
          <cell r="P43">
            <v>1</v>
          </cell>
          <cell r="Q43">
            <v>2</v>
          </cell>
          <cell r="R43">
            <v>0</v>
          </cell>
          <cell r="S43">
            <v>1</v>
          </cell>
          <cell r="T43">
            <v>1</v>
          </cell>
          <cell r="U43">
            <v>2</v>
          </cell>
          <cell r="V43">
            <v>1</v>
          </cell>
          <cell r="W43">
            <v>1</v>
          </cell>
          <cell r="X43">
            <v>3</v>
          </cell>
          <cell r="Y43">
            <v>0</v>
          </cell>
          <cell r="Z43">
            <v>0</v>
          </cell>
          <cell r="AA43">
            <v>2</v>
          </cell>
          <cell r="AB43">
            <v>30</v>
          </cell>
          <cell r="AC43">
            <v>0.50847457627118642</v>
          </cell>
          <cell r="AD43">
            <v>5</v>
          </cell>
          <cell r="AE43" t="b">
            <v>1</v>
          </cell>
          <cell r="AF43" t="b">
            <v>0</v>
          </cell>
          <cell r="AG43" t="b">
            <v>0</v>
          </cell>
          <cell r="AH43" t="b">
            <v>0</v>
          </cell>
        </row>
        <row r="44">
          <cell r="A44" t="str">
            <v>Shaashwat Mishra</v>
          </cell>
          <cell r="B44" t="str">
            <v>9B</v>
          </cell>
          <cell r="D44">
            <v>2</v>
          </cell>
          <cell r="E44">
            <v>0</v>
          </cell>
          <cell r="F44">
            <v>1</v>
          </cell>
          <cell r="G44">
            <v>1</v>
          </cell>
          <cell r="H44">
            <v>3</v>
          </cell>
          <cell r="I44">
            <v>2</v>
          </cell>
          <cell r="J44">
            <v>0</v>
          </cell>
          <cell r="K44">
            <v>0</v>
          </cell>
          <cell r="L44">
            <v>1</v>
          </cell>
          <cell r="M44">
            <v>1</v>
          </cell>
          <cell r="N44">
            <v>0</v>
          </cell>
          <cell r="O44">
            <v>0</v>
          </cell>
          <cell r="P44">
            <v>2</v>
          </cell>
          <cell r="Q44">
            <v>4</v>
          </cell>
          <cell r="R44">
            <v>0</v>
          </cell>
          <cell r="S44">
            <v>2</v>
          </cell>
          <cell r="T44">
            <v>2</v>
          </cell>
          <cell r="U44">
            <v>1</v>
          </cell>
          <cell r="V44">
            <v>1</v>
          </cell>
          <cell r="W44">
            <v>1</v>
          </cell>
          <cell r="X44">
            <v>6</v>
          </cell>
          <cell r="Y44">
            <v>0</v>
          </cell>
          <cell r="Z44">
            <v>0</v>
          </cell>
          <cell r="AA44">
            <v>4</v>
          </cell>
          <cell r="AB44">
            <v>34</v>
          </cell>
          <cell r="AC44">
            <v>0.57627118644067798</v>
          </cell>
          <cell r="AD44">
            <v>5</v>
          </cell>
          <cell r="AE44" t="b">
            <v>0</v>
          </cell>
          <cell r="AF44" t="b">
            <v>0</v>
          </cell>
          <cell r="AG44" t="b">
            <v>0</v>
          </cell>
          <cell r="AH44" t="b">
            <v>1</v>
          </cell>
        </row>
        <row r="45">
          <cell r="A45" t="str">
            <v>Krish Mittal</v>
          </cell>
          <cell r="B45" t="str">
            <v>9B</v>
          </cell>
          <cell r="D45">
            <v>2</v>
          </cell>
          <cell r="E45">
            <v>2</v>
          </cell>
          <cell r="F45">
            <v>1</v>
          </cell>
          <cell r="G45">
            <v>1</v>
          </cell>
          <cell r="H45">
            <v>3</v>
          </cell>
          <cell r="I45">
            <v>3</v>
          </cell>
          <cell r="J45">
            <v>2</v>
          </cell>
          <cell r="K45">
            <v>1</v>
          </cell>
          <cell r="L45">
            <v>1</v>
          </cell>
          <cell r="M45">
            <v>1</v>
          </cell>
          <cell r="N45">
            <v>0</v>
          </cell>
          <cell r="O45">
            <v>0</v>
          </cell>
          <cell r="P45">
            <v>1</v>
          </cell>
          <cell r="Q45">
            <v>4</v>
          </cell>
          <cell r="R45">
            <v>1</v>
          </cell>
          <cell r="S45">
            <v>2</v>
          </cell>
          <cell r="T45">
            <v>2</v>
          </cell>
          <cell r="U45">
            <v>2</v>
          </cell>
          <cell r="V45">
            <v>0</v>
          </cell>
          <cell r="W45">
            <v>1</v>
          </cell>
          <cell r="X45">
            <v>3</v>
          </cell>
          <cell r="Y45">
            <v>0</v>
          </cell>
          <cell r="Z45">
            <v>0</v>
          </cell>
          <cell r="AA45">
            <v>3</v>
          </cell>
          <cell r="AB45">
            <v>36</v>
          </cell>
          <cell r="AC45">
            <v>0.61016949152542377</v>
          </cell>
          <cell r="AD45">
            <v>6</v>
          </cell>
          <cell r="AE45" t="b">
            <v>0</v>
          </cell>
          <cell r="AF45" t="b">
            <v>0</v>
          </cell>
          <cell r="AG45" t="b">
            <v>0</v>
          </cell>
          <cell r="AH45" t="b">
            <v>1</v>
          </cell>
        </row>
        <row r="46">
          <cell r="A46" t="str">
            <v>Nathan Pason</v>
          </cell>
          <cell r="B46" t="str">
            <v>9B</v>
          </cell>
          <cell r="D46">
            <v>1</v>
          </cell>
          <cell r="E46">
            <v>1</v>
          </cell>
          <cell r="F46">
            <v>1</v>
          </cell>
          <cell r="G46">
            <v>2</v>
          </cell>
          <cell r="H46">
            <v>3</v>
          </cell>
          <cell r="I46">
            <v>3</v>
          </cell>
          <cell r="J46">
            <v>2</v>
          </cell>
          <cell r="K46">
            <v>1</v>
          </cell>
          <cell r="L46">
            <v>1</v>
          </cell>
          <cell r="M46">
            <v>0</v>
          </cell>
          <cell r="N46">
            <v>1</v>
          </cell>
          <cell r="O46">
            <v>0</v>
          </cell>
          <cell r="P46">
            <v>2</v>
          </cell>
          <cell r="Q46">
            <v>7</v>
          </cell>
          <cell r="R46">
            <v>0</v>
          </cell>
          <cell r="S46">
            <v>1</v>
          </cell>
          <cell r="T46">
            <v>1</v>
          </cell>
          <cell r="U46">
            <v>2</v>
          </cell>
          <cell r="V46">
            <v>1</v>
          </cell>
          <cell r="W46">
            <v>0</v>
          </cell>
          <cell r="X46">
            <v>4</v>
          </cell>
          <cell r="Y46">
            <v>1</v>
          </cell>
          <cell r="Z46">
            <v>0</v>
          </cell>
          <cell r="AA46">
            <v>6</v>
          </cell>
          <cell r="AB46">
            <v>41</v>
          </cell>
          <cell r="AC46">
            <v>0.69491525423728817</v>
          </cell>
          <cell r="AD46">
            <v>6</v>
          </cell>
          <cell r="AE46" t="b">
            <v>0</v>
          </cell>
          <cell r="AF46" t="b">
            <v>0</v>
          </cell>
          <cell r="AG46" t="b">
            <v>0</v>
          </cell>
          <cell r="AH46" t="b">
            <v>1</v>
          </cell>
        </row>
        <row r="47">
          <cell r="A47" t="str">
            <v>Varad Patil</v>
          </cell>
          <cell r="B47" t="str">
            <v>9B</v>
          </cell>
          <cell r="D47">
            <v>1</v>
          </cell>
          <cell r="E47">
            <v>2</v>
          </cell>
          <cell r="F47">
            <v>1</v>
          </cell>
          <cell r="G47">
            <v>2</v>
          </cell>
          <cell r="H47">
            <v>3</v>
          </cell>
          <cell r="I47">
            <v>3</v>
          </cell>
          <cell r="J47">
            <v>0</v>
          </cell>
          <cell r="K47">
            <v>1</v>
          </cell>
          <cell r="L47">
            <v>1</v>
          </cell>
          <cell r="M47">
            <v>1</v>
          </cell>
          <cell r="N47">
            <v>0</v>
          </cell>
          <cell r="O47">
            <v>0</v>
          </cell>
          <cell r="P47">
            <v>2</v>
          </cell>
          <cell r="Q47">
            <v>5</v>
          </cell>
          <cell r="R47">
            <v>0</v>
          </cell>
          <cell r="S47">
            <v>1</v>
          </cell>
          <cell r="T47">
            <v>1</v>
          </cell>
          <cell r="U47">
            <v>2</v>
          </cell>
          <cell r="V47">
            <v>1</v>
          </cell>
          <cell r="W47">
            <v>0</v>
          </cell>
          <cell r="X47">
            <v>1</v>
          </cell>
          <cell r="Y47">
            <v>0</v>
          </cell>
          <cell r="Z47">
            <v>1</v>
          </cell>
          <cell r="AA47">
            <v>4</v>
          </cell>
          <cell r="AB47">
            <v>33</v>
          </cell>
          <cell r="AC47">
            <v>0.55932203389830504</v>
          </cell>
          <cell r="AD47">
            <v>5</v>
          </cell>
          <cell r="AE47" t="b">
            <v>0</v>
          </cell>
          <cell r="AF47" t="b">
            <v>0</v>
          </cell>
          <cell r="AG47" t="b">
            <v>0</v>
          </cell>
          <cell r="AH47" t="b">
            <v>1</v>
          </cell>
        </row>
        <row r="48">
          <cell r="A48" t="str">
            <v>Umar Qadeer</v>
          </cell>
          <cell r="B48" t="str">
            <v>9B</v>
          </cell>
          <cell r="C48" t="str">
            <v>T</v>
          </cell>
          <cell r="D48">
            <v>2</v>
          </cell>
          <cell r="E48">
            <v>0</v>
          </cell>
          <cell r="F48">
            <v>1</v>
          </cell>
          <cell r="G48">
            <v>1</v>
          </cell>
          <cell r="H48">
            <v>3</v>
          </cell>
          <cell r="I48">
            <v>3</v>
          </cell>
          <cell r="J48">
            <v>2</v>
          </cell>
          <cell r="K48">
            <v>0</v>
          </cell>
          <cell r="L48">
            <v>0</v>
          </cell>
          <cell r="M48">
            <v>0</v>
          </cell>
          <cell r="N48">
            <v>0</v>
          </cell>
          <cell r="O48">
            <v>0</v>
          </cell>
          <cell r="P48">
            <v>0</v>
          </cell>
          <cell r="Q48">
            <v>0</v>
          </cell>
          <cell r="R48">
            <v>0</v>
          </cell>
          <cell r="S48">
            <v>2</v>
          </cell>
          <cell r="T48">
            <v>1</v>
          </cell>
          <cell r="U48">
            <v>2</v>
          </cell>
          <cell r="V48">
            <v>1</v>
          </cell>
          <cell r="W48">
            <v>0</v>
          </cell>
          <cell r="X48">
            <v>2</v>
          </cell>
          <cell r="Y48">
            <v>0</v>
          </cell>
          <cell r="Z48">
            <v>0</v>
          </cell>
          <cell r="AA48">
            <v>2</v>
          </cell>
          <cell r="AB48">
            <v>22</v>
          </cell>
          <cell r="AC48">
            <v>0.3728813559322034</v>
          </cell>
          <cell r="AD48">
            <v>3</v>
          </cell>
          <cell r="AE48" t="b">
            <v>1</v>
          </cell>
          <cell r="AF48" t="b">
            <v>0</v>
          </cell>
          <cell r="AG48" t="b">
            <v>0</v>
          </cell>
          <cell r="AH48" t="b">
            <v>0</v>
          </cell>
        </row>
        <row r="49">
          <cell r="A49" t="str">
            <v>Alavya Shah</v>
          </cell>
          <cell r="B49" t="str">
            <v>9B</v>
          </cell>
          <cell r="C49" t="str">
            <v>B</v>
          </cell>
          <cell r="D49">
            <v>2</v>
          </cell>
          <cell r="E49">
            <v>0</v>
          </cell>
          <cell r="F49">
            <v>1</v>
          </cell>
          <cell r="G49">
            <v>2</v>
          </cell>
          <cell r="H49">
            <v>3</v>
          </cell>
          <cell r="I49">
            <v>3</v>
          </cell>
          <cell r="J49">
            <v>0</v>
          </cell>
          <cell r="K49">
            <v>1</v>
          </cell>
          <cell r="L49">
            <v>1</v>
          </cell>
          <cell r="M49">
            <v>0</v>
          </cell>
          <cell r="N49">
            <v>1</v>
          </cell>
          <cell r="O49">
            <v>0</v>
          </cell>
          <cell r="P49">
            <v>1</v>
          </cell>
          <cell r="Q49">
            <v>6</v>
          </cell>
          <cell r="R49">
            <v>0</v>
          </cell>
          <cell r="S49">
            <v>0</v>
          </cell>
          <cell r="T49">
            <v>2</v>
          </cell>
          <cell r="U49">
            <v>4</v>
          </cell>
          <cell r="V49">
            <v>1</v>
          </cell>
          <cell r="W49">
            <v>0</v>
          </cell>
          <cell r="X49">
            <v>3</v>
          </cell>
          <cell r="Y49">
            <v>0</v>
          </cell>
          <cell r="Z49">
            <v>1</v>
          </cell>
          <cell r="AA49">
            <v>3</v>
          </cell>
          <cell r="AB49">
            <v>35</v>
          </cell>
          <cell r="AC49">
            <v>0.59322033898305082</v>
          </cell>
          <cell r="AD49">
            <v>5</v>
          </cell>
          <cell r="AE49" t="b">
            <v>0</v>
          </cell>
          <cell r="AF49" t="b">
            <v>0</v>
          </cell>
          <cell r="AG49" t="b">
            <v>1</v>
          </cell>
          <cell r="AH49" t="b">
            <v>0</v>
          </cell>
        </row>
        <row r="50">
          <cell r="A50" t="str">
            <v>Samar Vadali</v>
          </cell>
          <cell r="B50" t="str">
            <v>9B</v>
          </cell>
          <cell r="D50">
            <v>1</v>
          </cell>
          <cell r="E50">
            <v>0</v>
          </cell>
          <cell r="F50">
            <v>0</v>
          </cell>
          <cell r="G50">
            <v>1</v>
          </cell>
          <cell r="H50">
            <v>1</v>
          </cell>
          <cell r="I50">
            <v>3</v>
          </cell>
          <cell r="J50">
            <v>0</v>
          </cell>
          <cell r="K50">
            <v>1</v>
          </cell>
          <cell r="L50">
            <v>1</v>
          </cell>
          <cell r="M50">
            <v>0</v>
          </cell>
          <cell r="N50">
            <v>1</v>
          </cell>
          <cell r="O50">
            <v>0</v>
          </cell>
          <cell r="P50">
            <v>0</v>
          </cell>
          <cell r="Q50">
            <v>7</v>
          </cell>
          <cell r="R50">
            <v>0</v>
          </cell>
          <cell r="S50">
            <v>0</v>
          </cell>
          <cell r="T50">
            <v>2</v>
          </cell>
          <cell r="U50">
            <v>2</v>
          </cell>
          <cell r="V50">
            <v>1</v>
          </cell>
          <cell r="W50">
            <v>1</v>
          </cell>
          <cell r="X50">
            <v>3</v>
          </cell>
          <cell r="Y50">
            <v>0</v>
          </cell>
          <cell r="Z50">
            <v>0</v>
          </cell>
          <cell r="AA50">
            <v>0</v>
          </cell>
          <cell r="AB50">
            <v>25</v>
          </cell>
          <cell r="AC50">
            <v>0.42372881355932202</v>
          </cell>
          <cell r="AD50">
            <v>4</v>
          </cell>
          <cell r="AE50" t="b">
            <v>0</v>
          </cell>
          <cell r="AF50" t="b">
            <v>0</v>
          </cell>
          <cell r="AG50" t="b">
            <v>0</v>
          </cell>
          <cell r="AH50" t="b">
            <v>1</v>
          </cell>
        </row>
        <row r="51">
          <cell r="A51" t="str">
            <v>Karthik Varre</v>
          </cell>
          <cell r="B51" t="str">
            <v>9B</v>
          </cell>
          <cell r="D51">
            <v>2</v>
          </cell>
          <cell r="E51">
            <v>3</v>
          </cell>
          <cell r="F51">
            <v>1</v>
          </cell>
          <cell r="G51">
            <v>2</v>
          </cell>
          <cell r="H51">
            <v>3</v>
          </cell>
          <cell r="I51">
            <v>3</v>
          </cell>
          <cell r="J51">
            <v>2</v>
          </cell>
          <cell r="K51">
            <v>1</v>
          </cell>
          <cell r="L51">
            <v>1</v>
          </cell>
          <cell r="M51">
            <v>0</v>
          </cell>
          <cell r="N51">
            <v>1</v>
          </cell>
          <cell r="O51">
            <v>2</v>
          </cell>
          <cell r="P51">
            <v>2</v>
          </cell>
          <cell r="Q51">
            <v>7</v>
          </cell>
          <cell r="R51">
            <v>1</v>
          </cell>
          <cell r="S51">
            <v>2</v>
          </cell>
          <cell r="T51">
            <v>2</v>
          </cell>
          <cell r="U51">
            <v>2</v>
          </cell>
          <cell r="V51">
            <v>1</v>
          </cell>
          <cell r="W51">
            <v>1</v>
          </cell>
          <cell r="X51">
            <v>4</v>
          </cell>
          <cell r="Y51">
            <v>0</v>
          </cell>
          <cell r="Z51">
            <v>1</v>
          </cell>
          <cell r="AA51">
            <v>6</v>
          </cell>
          <cell r="AB51">
            <v>50</v>
          </cell>
          <cell r="AC51">
            <v>0.84745762711864403</v>
          </cell>
          <cell r="AD51">
            <v>8</v>
          </cell>
          <cell r="AE51" t="b">
            <v>0</v>
          </cell>
          <cell r="AF51" t="b">
            <v>0</v>
          </cell>
          <cell r="AG51" t="b">
            <v>0</v>
          </cell>
          <cell r="AH51" t="b">
            <v>1</v>
          </cell>
        </row>
        <row r="52">
          <cell r="A52" t="str">
            <v>Noah Verster</v>
          </cell>
          <cell r="B52" t="str">
            <v>9B</v>
          </cell>
          <cell r="D52">
            <v>2</v>
          </cell>
          <cell r="E52">
            <v>3</v>
          </cell>
          <cell r="F52">
            <v>1</v>
          </cell>
          <cell r="G52">
            <v>1</v>
          </cell>
          <cell r="H52">
            <v>3</v>
          </cell>
          <cell r="I52">
            <v>3</v>
          </cell>
          <cell r="J52">
            <v>2</v>
          </cell>
          <cell r="K52">
            <v>0</v>
          </cell>
          <cell r="L52">
            <v>1</v>
          </cell>
          <cell r="M52">
            <v>1</v>
          </cell>
          <cell r="N52">
            <v>1</v>
          </cell>
          <cell r="O52">
            <v>2</v>
          </cell>
          <cell r="P52">
            <v>2</v>
          </cell>
          <cell r="Q52">
            <v>6</v>
          </cell>
          <cell r="R52">
            <v>1</v>
          </cell>
          <cell r="S52">
            <v>0</v>
          </cell>
          <cell r="T52">
            <v>2</v>
          </cell>
          <cell r="U52">
            <v>4</v>
          </cell>
          <cell r="V52">
            <v>1</v>
          </cell>
          <cell r="W52">
            <v>1</v>
          </cell>
          <cell r="X52">
            <v>6</v>
          </cell>
          <cell r="Y52">
            <v>1</v>
          </cell>
          <cell r="Z52">
            <v>1</v>
          </cell>
          <cell r="AA52">
            <v>6</v>
          </cell>
          <cell r="AB52">
            <v>51</v>
          </cell>
          <cell r="AC52">
            <v>0.86440677966101698</v>
          </cell>
          <cell r="AD52">
            <v>8</v>
          </cell>
          <cell r="AE52" t="b">
            <v>0</v>
          </cell>
          <cell r="AF52" t="b">
            <v>0</v>
          </cell>
          <cell r="AG52" t="b">
            <v>0</v>
          </cell>
          <cell r="AH52" t="b">
            <v>1</v>
          </cell>
        </row>
        <row r="53">
          <cell r="A53" t="str">
            <v>9B average</v>
          </cell>
          <cell r="B53" t="str">
            <v>9B</v>
          </cell>
          <cell r="D53">
            <v>1.6086956521739131</v>
          </cell>
          <cell r="E53">
            <v>1.3478260869565217</v>
          </cell>
          <cell r="F53">
            <v>0.78260869565217395</v>
          </cell>
          <cell r="G53">
            <v>1.3913043478260869</v>
          </cell>
          <cell r="H53">
            <v>2.6956521739130435</v>
          </cell>
          <cell r="I53">
            <v>2.7826086956521738</v>
          </cell>
          <cell r="J53">
            <v>1.5652173913043479</v>
          </cell>
          <cell r="K53">
            <v>0.82608695652173914</v>
          </cell>
          <cell r="L53">
            <v>0.78260869565217395</v>
          </cell>
          <cell r="M53">
            <v>0.65217391304347827</v>
          </cell>
          <cell r="N53">
            <v>0.86956521739130432</v>
          </cell>
          <cell r="O53">
            <v>0.52173913043478259</v>
          </cell>
          <cell r="P53">
            <v>1.4347826086956521</v>
          </cell>
          <cell r="Q53">
            <v>4.8695652173913047</v>
          </cell>
          <cell r="R53">
            <v>0.2608695652173913</v>
          </cell>
          <cell r="S53">
            <v>1.4782608695652173</v>
          </cell>
          <cell r="T53">
            <v>1.4782608695652173</v>
          </cell>
          <cell r="U53">
            <v>2.347826086956522</v>
          </cell>
          <cell r="V53">
            <v>1</v>
          </cell>
          <cell r="W53">
            <v>0.65217391304347827</v>
          </cell>
          <cell r="X53">
            <v>4</v>
          </cell>
          <cell r="Y53">
            <v>0.30434782608695654</v>
          </cell>
          <cell r="Z53">
            <v>0.65217391304347827</v>
          </cell>
          <cell r="AA53">
            <v>3.6086956521739131</v>
          </cell>
          <cell r="AB53">
            <v>37.913043478260867</v>
          </cell>
          <cell r="AC53">
            <v>0.64259395725865875</v>
          </cell>
          <cell r="AD53">
            <v>6</v>
          </cell>
          <cell r="AE53" t="b">
            <v>0</v>
          </cell>
          <cell r="AF53" t="b">
            <v>0</v>
          </cell>
          <cell r="AG53" t="b">
            <v>0</v>
          </cell>
          <cell r="AH53" t="b">
            <v>1</v>
          </cell>
        </row>
        <row r="54">
          <cell r="A54" t="str">
            <v xml:space="preserve"> </v>
          </cell>
          <cell r="AB54">
            <v>0</v>
          </cell>
          <cell r="AC54">
            <v>0</v>
          </cell>
          <cell r="AD54" t="str">
            <v>U</v>
          </cell>
          <cell r="AE54" t="b">
            <v>0</v>
          </cell>
          <cell r="AF54" t="b">
            <v>0</v>
          </cell>
          <cell r="AG54" t="b">
            <v>0</v>
          </cell>
          <cell r="AH54" t="b">
            <v>1</v>
          </cell>
        </row>
        <row r="55">
          <cell r="A55" t="str">
            <v>Joel Abbi</v>
          </cell>
          <cell r="B55" t="str">
            <v>9C</v>
          </cell>
          <cell r="AB55">
            <v>0</v>
          </cell>
          <cell r="AC55">
            <v>0</v>
          </cell>
          <cell r="AD55" t="str">
            <v>U</v>
          </cell>
          <cell r="AE55" t="b">
            <v>0</v>
          </cell>
          <cell r="AF55" t="b">
            <v>0</v>
          </cell>
          <cell r="AG55" t="b">
            <v>0</v>
          </cell>
          <cell r="AH55" t="b">
            <v>1</v>
          </cell>
        </row>
        <row r="56">
          <cell r="A56" t="str">
            <v>Abhiram Bhogathi</v>
          </cell>
          <cell r="B56" t="str">
            <v>9C</v>
          </cell>
          <cell r="C56" t="str">
            <v>B</v>
          </cell>
          <cell r="AB56">
            <v>0</v>
          </cell>
          <cell r="AC56">
            <v>0</v>
          </cell>
          <cell r="AD56" t="str">
            <v>U</v>
          </cell>
          <cell r="AE56" t="b">
            <v>0</v>
          </cell>
          <cell r="AF56" t="b">
            <v>0</v>
          </cell>
          <cell r="AG56" t="b">
            <v>1</v>
          </cell>
          <cell r="AH56" t="b">
            <v>0</v>
          </cell>
        </row>
        <row r="57">
          <cell r="A57" t="str">
            <v>Jagannath Dhulipudi</v>
          </cell>
          <cell r="B57" t="str">
            <v>9C</v>
          </cell>
          <cell r="AB57">
            <v>0</v>
          </cell>
          <cell r="AC57">
            <v>0</v>
          </cell>
          <cell r="AD57" t="str">
            <v>U</v>
          </cell>
          <cell r="AE57" t="b">
            <v>0</v>
          </cell>
          <cell r="AF57" t="b">
            <v>0</v>
          </cell>
          <cell r="AG57" t="b">
            <v>0</v>
          </cell>
          <cell r="AH57" t="b">
            <v>1</v>
          </cell>
        </row>
        <row r="58">
          <cell r="A58" t="str">
            <v>Siddharth Duvvuri</v>
          </cell>
          <cell r="B58" t="str">
            <v>9C</v>
          </cell>
          <cell r="C58" t="str">
            <v>BK</v>
          </cell>
          <cell r="AB58">
            <v>0</v>
          </cell>
          <cell r="AC58">
            <v>0</v>
          </cell>
          <cell r="AD58" t="str">
            <v>U</v>
          </cell>
          <cell r="AE58" t="b">
            <v>0</v>
          </cell>
          <cell r="AF58" t="b">
            <v>1</v>
          </cell>
          <cell r="AG58" t="b">
            <v>1</v>
          </cell>
          <cell r="AH58" t="b">
            <v>0</v>
          </cell>
        </row>
        <row r="59">
          <cell r="A59" t="str">
            <v>Omer Farooq</v>
          </cell>
          <cell r="B59" t="str">
            <v>9C</v>
          </cell>
          <cell r="AB59">
            <v>0</v>
          </cell>
          <cell r="AC59">
            <v>0</v>
          </cell>
          <cell r="AD59" t="str">
            <v>U</v>
          </cell>
          <cell r="AE59" t="b">
            <v>0</v>
          </cell>
          <cell r="AF59" t="b">
            <v>0</v>
          </cell>
          <cell r="AG59" t="b">
            <v>0</v>
          </cell>
          <cell r="AH59" t="b">
            <v>1</v>
          </cell>
        </row>
        <row r="60">
          <cell r="A60" t="str">
            <v>Kaden Fraser</v>
          </cell>
          <cell r="B60" t="str">
            <v>9C</v>
          </cell>
          <cell r="C60" t="str">
            <v>K</v>
          </cell>
          <cell r="AB60">
            <v>0</v>
          </cell>
          <cell r="AC60">
            <v>0</v>
          </cell>
          <cell r="AD60" t="str">
            <v>U</v>
          </cell>
          <cell r="AE60" t="b">
            <v>0</v>
          </cell>
          <cell r="AF60" t="b">
            <v>1</v>
          </cell>
          <cell r="AG60" t="b">
            <v>0</v>
          </cell>
          <cell r="AH60" t="b">
            <v>0</v>
          </cell>
        </row>
        <row r="61">
          <cell r="A61" t="str">
            <v>Akhil Gibi</v>
          </cell>
          <cell r="B61" t="str">
            <v>9C</v>
          </cell>
          <cell r="AB61">
            <v>0</v>
          </cell>
          <cell r="AC61">
            <v>0</v>
          </cell>
          <cell r="AD61" t="str">
            <v>U</v>
          </cell>
          <cell r="AE61" t="b">
            <v>0</v>
          </cell>
          <cell r="AF61" t="b">
            <v>0</v>
          </cell>
          <cell r="AG61" t="b">
            <v>0</v>
          </cell>
          <cell r="AH61" t="b">
            <v>1</v>
          </cell>
        </row>
        <row r="62">
          <cell r="A62" t="str">
            <v>Joel Joseph-Simon</v>
          </cell>
          <cell r="B62" t="str">
            <v>9C</v>
          </cell>
          <cell r="AB62">
            <v>0</v>
          </cell>
          <cell r="AC62">
            <v>0</v>
          </cell>
          <cell r="AD62" t="str">
            <v>U</v>
          </cell>
          <cell r="AE62" t="b">
            <v>0</v>
          </cell>
          <cell r="AF62" t="b">
            <v>0</v>
          </cell>
          <cell r="AG62" t="b">
            <v>0</v>
          </cell>
          <cell r="AH62" t="b">
            <v>1</v>
          </cell>
        </row>
        <row r="63">
          <cell r="A63" t="str">
            <v>Arnav Maheshwari</v>
          </cell>
          <cell r="B63" t="str">
            <v>9C</v>
          </cell>
          <cell r="C63" t="str">
            <v>T</v>
          </cell>
          <cell r="AB63">
            <v>0</v>
          </cell>
          <cell r="AC63">
            <v>0</v>
          </cell>
          <cell r="AD63" t="str">
            <v>U</v>
          </cell>
          <cell r="AE63" t="b">
            <v>1</v>
          </cell>
          <cell r="AF63" t="b">
            <v>0</v>
          </cell>
          <cell r="AG63" t="b">
            <v>0</v>
          </cell>
          <cell r="AH63" t="b">
            <v>0</v>
          </cell>
        </row>
        <row r="64">
          <cell r="A64" t="str">
            <v>Ojas Malpure</v>
          </cell>
          <cell r="B64" t="str">
            <v>9C</v>
          </cell>
          <cell r="AB64">
            <v>0</v>
          </cell>
          <cell r="AC64">
            <v>0</v>
          </cell>
          <cell r="AD64" t="str">
            <v>U</v>
          </cell>
          <cell r="AE64" t="b">
            <v>0</v>
          </cell>
          <cell r="AF64" t="b">
            <v>0</v>
          </cell>
          <cell r="AG64" t="b">
            <v>0</v>
          </cell>
          <cell r="AH64" t="b">
            <v>1</v>
          </cell>
        </row>
        <row r="65">
          <cell r="A65" t="str">
            <v>David Nnabuife</v>
          </cell>
          <cell r="B65" t="str">
            <v>9C</v>
          </cell>
          <cell r="AB65">
            <v>0</v>
          </cell>
          <cell r="AC65">
            <v>0</v>
          </cell>
          <cell r="AD65" t="str">
            <v>U</v>
          </cell>
          <cell r="AE65" t="b">
            <v>0</v>
          </cell>
          <cell r="AF65" t="b">
            <v>0</v>
          </cell>
          <cell r="AG65" t="b">
            <v>0</v>
          </cell>
          <cell r="AH65" t="b">
            <v>1</v>
          </cell>
        </row>
        <row r="66">
          <cell r="A66" t="str">
            <v>Kavya Panchal</v>
          </cell>
          <cell r="B66" t="str">
            <v>9C</v>
          </cell>
          <cell r="AB66">
            <v>0</v>
          </cell>
          <cell r="AC66">
            <v>0</v>
          </cell>
          <cell r="AD66" t="str">
            <v>U</v>
          </cell>
          <cell r="AE66" t="b">
            <v>0</v>
          </cell>
          <cell r="AF66" t="b">
            <v>0</v>
          </cell>
          <cell r="AG66" t="b">
            <v>0</v>
          </cell>
          <cell r="AH66" t="b">
            <v>1</v>
          </cell>
        </row>
        <row r="67">
          <cell r="A67" t="str">
            <v>Varnesh Ramesh</v>
          </cell>
          <cell r="B67" t="str">
            <v>9C</v>
          </cell>
          <cell r="C67" t="str">
            <v>T</v>
          </cell>
          <cell r="AB67">
            <v>0</v>
          </cell>
          <cell r="AC67">
            <v>0</v>
          </cell>
          <cell r="AD67" t="str">
            <v>U</v>
          </cell>
          <cell r="AE67" t="b">
            <v>1</v>
          </cell>
          <cell r="AF67" t="b">
            <v>0</v>
          </cell>
          <cell r="AG67" t="b">
            <v>0</v>
          </cell>
          <cell r="AH67" t="b">
            <v>0</v>
          </cell>
        </row>
        <row r="68">
          <cell r="A68" t="str">
            <v>Avesta Saadabadi</v>
          </cell>
          <cell r="B68" t="str">
            <v>9C</v>
          </cell>
          <cell r="AB68">
            <v>0</v>
          </cell>
          <cell r="AC68">
            <v>0</v>
          </cell>
          <cell r="AD68" t="str">
            <v>U</v>
          </cell>
          <cell r="AE68" t="b">
            <v>0</v>
          </cell>
          <cell r="AF68" t="b">
            <v>0</v>
          </cell>
          <cell r="AG68" t="b">
            <v>0</v>
          </cell>
          <cell r="AH68" t="b">
            <v>1</v>
          </cell>
        </row>
        <row r="69">
          <cell r="A69" t="str">
            <v>Alex Seleidarian</v>
          </cell>
          <cell r="B69" t="str">
            <v>9C</v>
          </cell>
          <cell r="AB69">
            <v>0</v>
          </cell>
          <cell r="AC69">
            <v>0</v>
          </cell>
          <cell r="AD69" t="str">
            <v>U</v>
          </cell>
          <cell r="AE69" t="b">
            <v>0</v>
          </cell>
          <cell r="AF69" t="b">
            <v>0</v>
          </cell>
          <cell r="AG69" t="b">
            <v>0</v>
          </cell>
          <cell r="AH69" t="b">
            <v>1</v>
          </cell>
        </row>
        <row r="70">
          <cell r="A70" t="str">
            <v>Akshat Selvakumar</v>
          </cell>
          <cell r="B70" t="str">
            <v>9C</v>
          </cell>
          <cell r="AB70">
            <v>0</v>
          </cell>
          <cell r="AC70">
            <v>0</v>
          </cell>
          <cell r="AD70" t="str">
            <v>U</v>
          </cell>
          <cell r="AE70" t="b">
            <v>0</v>
          </cell>
          <cell r="AF70" t="b">
            <v>0</v>
          </cell>
          <cell r="AG70" t="b">
            <v>0</v>
          </cell>
          <cell r="AH70" t="b">
            <v>1</v>
          </cell>
        </row>
        <row r="71">
          <cell r="A71" t="str">
            <v>Kaarmukhil Sivaraman</v>
          </cell>
          <cell r="B71" t="str">
            <v>9C</v>
          </cell>
          <cell r="AB71">
            <v>0</v>
          </cell>
          <cell r="AC71">
            <v>0</v>
          </cell>
          <cell r="AD71" t="str">
            <v>U</v>
          </cell>
          <cell r="AE71" t="b">
            <v>0</v>
          </cell>
          <cell r="AF71" t="b">
            <v>0</v>
          </cell>
          <cell r="AG71" t="b">
            <v>0</v>
          </cell>
          <cell r="AH71" t="b">
            <v>1</v>
          </cell>
        </row>
        <row r="72">
          <cell r="A72" t="str">
            <v>Vel Suriya Narayanan</v>
          </cell>
          <cell r="B72" t="str">
            <v>9C</v>
          </cell>
          <cell r="AB72">
            <v>0</v>
          </cell>
          <cell r="AC72">
            <v>0</v>
          </cell>
          <cell r="AD72" t="str">
            <v>U</v>
          </cell>
          <cell r="AE72" t="b">
            <v>0</v>
          </cell>
          <cell r="AF72" t="b">
            <v>0</v>
          </cell>
          <cell r="AG72" t="b">
            <v>0</v>
          </cell>
          <cell r="AH72" t="b">
            <v>1</v>
          </cell>
        </row>
        <row r="73">
          <cell r="A73" t="str">
            <v>Zohaib Syed</v>
          </cell>
          <cell r="B73" t="str">
            <v>9C</v>
          </cell>
          <cell r="AB73">
            <v>0</v>
          </cell>
          <cell r="AC73">
            <v>0</v>
          </cell>
          <cell r="AD73" t="str">
            <v>U</v>
          </cell>
          <cell r="AE73" t="b">
            <v>0</v>
          </cell>
          <cell r="AF73" t="b">
            <v>0</v>
          </cell>
          <cell r="AG73" t="b">
            <v>0</v>
          </cell>
          <cell r="AH73" t="b">
            <v>1</v>
          </cell>
        </row>
        <row r="74">
          <cell r="A74" t="str">
            <v>Izyaan Tahir</v>
          </cell>
          <cell r="B74" t="str">
            <v>9C</v>
          </cell>
          <cell r="C74" t="str">
            <v>T</v>
          </cell>
          <cell r="AB74">
            <v>0</v>
          </cell>
          <cell r="AC74">
            <v>0</v>
          </cell>
          <cell r="AD74" t="str">
            <v>U</v>
          </cell>
          <cell r="AE74" t="b">
            <v>1</v>
          </cell>
          <cell r="AF74" t="b">
            <v>0</v>
          </cell>
          <cell r="AG74" t="b">
            <v>0</v>
          </cell>
          <cell r="AH74" t="b">
            <v>0</v>
          </cell>
        </row>
        <row r="75">
          <cell r="A75" t="str">
            <v>Lucas Tu</v>
          </cell>
          <cell r="B75" t="str">
            <v>9C</v>
          </cell>
          <cell r="AB75">
            <v>0</v>
          </cell>
          <cell r="AC75">
            <v>0</v>
          </cell>
          <cell r="AD75" t="str">
            <v>U</v>
          </cell>
          <cell r="AE75" t="b">
            <v>0</v>
          </cell>
          <cell r="AF75" t="b">
            <v>0</v>
          </cell>
          <cell r="AG75" t="b">
            <v>0</v>
          </cell>
          <cell r="AH75" t="b">
            <v>1</v>
          </cell>
        </row>
        <row r="76">
          <cell r="A76" t="str">
            <v>Ethan Zeng</v>
          </cell>
          <cell r="B76" t="str">
            <v>9C</v>
          </cell>
          <cell r="AB76">
            <v>0</v>
          </cell>
          <cell r="AC76">
            <v>0</v>
          </cell>
          <cell r="AD76" t="str">
            <v>U</v>
          </cell>
          <cell r="AE76" t="b">
            <v>0</v>
          </cell>
          <cell r="AF76" t="b">
            <v>0</v>
          </cell>
          <cell r="AG76" t="b">
            <v>0</v>
          </cell>
          <cell r="AH76" t="b">
            <v>1</v>
          </cell>
        </row>
        <row r="77">
          <cell r="A77" t="str">
            <v>Sohail Zubair</v>
          </cell>
          <cell r="B77" t="str">
            <v>9C</v>
          </cell>
          <cell r="AB77">
            <v>0</v>
          </cell>
          <cell r="AC77">
            <v>0</v>
          </cell>
          <cell r="AD77" t="str">
            <v>U</v>
          </cell>
          <cell r="AE77" t="b">
            <v>0</v>
          </cell>
          <cell r="AF77" t="b">
            <v>0</v>
          </cell>
          <cell r="AG77" t="b">
            <v>0</v>
          </cell>
          <cell r="AH77" t="b">
            <v>1</v>
          </cell>
        </row>
        <row r="78">
          <cell r="A78" t="str">
            <v>9C average</v>
          </cell>
          <cell r="AB78">
            <v>0</v>
          </cell>
          <cell r="AC78">
            <v>0</v>
          </cell>
          <cell r="AD78" t="str">
            <v>U</v>
          </cell>
          <cell r="AE78" t="b">
            <v>0</v>
          </cell>
          <cell r="AF78" t="b">
            <v>0</v>
          </cell>
          <cell r="AG78" t="b">
            <v>0</v>
          </cell>
          <cell r="AH78" t="b">
            <v>1</v>
          </cell>
        </row>
        <row r="79">
          <cell r="A79" t="str">
            <v xml:space="preserve"> </v>
          </cell>
          <cell r="AB79">
            <v>0</v>
          </cell>
          <cell r="AC79">
            <v>0</v>
          </cell>
          <cell r="AD79" t="str">
            <v>U</v>
          </cell>
          <cell r="AE79" t="b">
            <v>0</v>
          </cell>
          <cell r="AF79" t="b">
            <v>0</v>
          </cell>
          <cell r="AG79" t="b">
            <v>0</v>
          </cell>
          <cell r="AH79" t="b">
            <v>1</v>
          </cell>
        </row>
        <row r="80">
          <cell r="A80" t="str">
            <v>Pedram Abedi</v>
          </cell>
          <cell r="B80" t="str">
            <v>9D</v>
          </cell>
          <cell r="C80" t="str">
            <v>KT</v>
          </cell>
          <cell r="AB80">
            <v>0</v>
          </cell>
          <cell r="AC80">
            <v>0</v>
          </cell>
          <cell r="AD80" t="str">
            <v>U</v>
          </cell>
          <cell r="AE80" t="b">
            <v>1</v>
          </cell>
          <cell r="AF80" t="b">
            <v>1</v>
          </cell>
          <cell r="AG80" t="b">
            <v>0</v>
          </cell>
          <cell r="AH80" t="b">
            <v>0</v>
          </cell>
        </row>
        <row r="81">
          <cell r="A81" t="str">
            <v>Harry Bacon</v>
          </cell>
          <cell r="B81" t="str">
            <v>9D</v>
          </cell>
          <cell r="AB81">
            <v>0</v>
          </cell>
          <cell r="AC81">
            <v>0</v>
          </cell>
          <cell r="AD81" t="str">
            <v>U</v>
          </cell>
          <cell r="AE81" t="b">
            <v>0</v>
          </cell>
          <cell r="AF81" t="b">
            <v>0</v>
          </cell>
          <cell r="AG81" t="b">
            <v>0</v>
          </cell>
          <cell r="AH81" t="b">
            <v>1</v>
          </cell>
        </row>
        <row r="82">
          <cell r="A82" t="str">
            <v>Dominic Bourne</v>
          </cell>
          <cell r="B82" t="str">
            <v>9D</v>
          </cell>
          <cell r="C82" t="str">
            <v>TK</v>
          </cell>
          <cell r="AB82">
            <v>0</v>
          </cell>
          <cell r="AC82">
            <v>0</v>
          </cell>
          <cell r="AD82" t="str">
            <v>U</v>
          </cell>
          <cell r="AE82" t="b">
            <v>1</v>
          </cell>
          <cell r="AF82" t="b">
            <v>1</v>
          </cell>
          <cell r="AG82" t="b">
            <v>0</v>
          </cell>
          <cell r="AH82" t="b">
            <v>0</v>
          </cell>
        </row>
        <row r="83">
          <cell r="A83" t="str">
            <v>Christopher Dowse</v>
          </cell>
          <cell r="B83" t="str">
            <v>9D</v>
          </cell>
          <cell r="AB83">
            <v>0</v>
          </cell>
          <cell r="AC83">
            <v>0</v>
          </cell>
          <cell r="AD83" t="str">
            <v>U</v>
          </cell>
          <cell r="AE83" t="b">
            <v>0</v>
          </cell>
          <cell r="AF83" t="b">
            <v>0</v>
          </cell>
          <cell r="AG83" t="b">
            <v>0</v>
          </cell>
          <cell r="AH83" t="b">
            <v>1</v>
          </cell>
        </row>
        <row r="84">
          <cell r="A84" t="str">
            <v>Andrey Druzhinin</v>
          </cell>
          <cell r="B84" t="str">
            <v>9D</v>
          </cell>
          <cell r="AB84">
            <v>0</v>
          </cell>
          <cell r="AC84">
            <v>0</v>
          </cell>
          <cell r="AD84" t="str">
            <v>U</v>
          </cell>
          <cell r="AE84" t="b">
            <v>0</v>
          </cell>
          <cell r="AF84" t="b">
            <v>0</v>
          </cell>
          <cell r="AG84" t="b">
            <v>0</v>
          </cell>
          <cell r="AH84" t="b">
            <v>1</v>
          </cell>
        </row>
        <row r="85">
          <cell r="A85" t="str">
            <v>Pranav Ghatge</v>
          </cell>
          <cell r="B85" t="str">
            <v>9D</v>
          </cell>
          <cell r="C85" t="str">
            <v>T</v>
          </cell>
          <cell r="AB85">
            <v>0</v>
          </cell>
          <cell r="AC85">
            <v>0</v>
          </cell>
          <cell r="AD85" t="str">
            <v>U</v>
          </cell>
          <cell r="AE85" t="b">
            <v>1</v>
          </cell>
          <cell r="AF85" t="b">
            <v>0</v>
          </cell>
          <cell r="AG85" t="b">
            <v>0</v>
          </cell>
          <cell r="AH85" t="b">
            <v>0</v>
          </cell>
        </row>
        <row r="86">
          <cell r="A86" t="str">
            <v>Koushik Gopamsana</v>
          </cell>
          <cell r="B86" t="str">
            <v>9D</v>
          </cell>
          <cell r="AB86">
            <v>0</v>
          </cell>
          <cell r="AC86">
            <v>0</v>
          </cell>
          <cell r="AD86" t="str">
            <v>U</v>
          </cell>
          <cell r="AE86" t="b">
            <v>0</v>
          </cell>
          <cell r="AF86" t="b">
            <v>0</v>
          </cell>
          <cell r="AG86" t="b">
            <v>0</v>
          </cell>
          <cell r="AH86" t="b">
            <v>1</v>
          </cell>
        </row>
        <row r="87">
          <cell r="A87" t="str">
            <v>Nathan Heung</v>
          </cell>
          <cell r="B87" t="str">
            <v>9D</v>
          </cell>
          <cell r="AB87">
            <v>0</v>
          </cell>
          <cell r="AC87">
            <v>0</v>
          </cell>
          <cell r="AD87" t="str">
            <v>U</v>
          </cell>
          <cell r="AE87" t="b">
            <v>0</v>
          </cell>
          <cell r="AF87" t="b">
            <v>0</v>
          </cell>
          <cell r="AG87" t="b">
            <v>0</v>
          </cell>
          <cell r="AH87" t="b">
            <v>1</v>
          </cell>
        </row>
        <row r="88">
          <cell r="A88" t="str">
            <v>Yash Katyal</v>
          </cell>
          <cell r="B88" t="str">
            <v>9D</v>
          </cell>
          <cell r="C88" t="str">
            <v>T</v>
          </cell>
          <cell r="AB88">
            <v>0</v>
          </cell>
          <cell r="AC88">
            <v>0</v>
          </cell>
          <cell r="AD88" t="str">
            <v>U</v>
          </cell>
          <cell r="AE88" t="b">
            <v>1</v>
          </cell>
          <cell r="AF88" t="b">
            <v>0</v>
          </cell>
          <cell r="AG88" t="b">
            <v>0</v>
          </cell>
          <cell r="AH88" t="b">
            <v>0</v>
          </cell>
        </row>
        <row r="89">
          <cell r="A89" t="str">
            <v>Saharsh Mane</v>
          </cell>
          <cell r="B89" t="str">
            <v>9D</v>
          </cell>
          <cell r="AB89">
            <v>0</v>
          </cell>
          <cell r="AC89">
            <v>0</v>
          </cell>
          <cell r="AD89" t="str">
            <v>U</v>
          </cell>
          <cell r="AE89" t="b">
            <v>0</v>
          </cell>
          <cell r="AF89" t="b">
            <v>0</v>
          </cell>
          <cell r="AG89" t="b">
            <v>0</v>
          </cell>
          <cell r="AH89" t="b">
            <v>1</v>
          </cell>
        </row>
        <row r="90">
          <cell r="A90" t="str">
            <v>Parth Mehta</v>
          </cell>
          <cell r="B90" t="str">
            <v>9D</v>
          </cell>
          <cell r="AB90">
            <v>0</v>
          </cell>
          <cell r="AC90">
            <v>0</v>
          </cell>
          <cell r="AD90" t="str">
            <v>U</v>
          </cell>
          <cell r="AE90" t="b">
            <v>0</v>
          </cell>
          <cell r="AF90" t="b">
            <v>0</v>
          </cell>
          <cell r="AG90" t="b">
            <v>0</v>
          </cell>
          <cell r="AH90" t="b">
            <v>1</v>
          </cell>
        </row>
        <row r="91">
          <cell r="A91" t="str">
            <v>Rayan Mohammadi</v>
          </cell>
          <cell r="B91" t="str">
            <v>9D</v>
          </cell>
          <cell r="C91" t="str">
            <v>K</v>
          </cell>
          <cell r="AB91">
            <v>0</v>
          </cell>
          <cell r="AC91">
            <v>0</v>
          </cell>
          <cell r="AD91" t="str">
            <v>U</v>
          </cell>
          <cell r="AE91" t="b">
            <v>0</v>
          </cell>
          <cell r="AF91" t="b">
            <v>1</v>
          </cell>
          <cell r="AG91" t="b">
            <v>0</v>
          </cell>
          <cell r="AH91" t="b">
            <v>0</v>
          </cell>
        </row>
        <row r="92">
          <cell r="A92" t="str">
            <v>Hari Murugaboopathy</v>
          </cell>
          <cell r="B92" t="str">
            <v>9D</v>
          </cell>
          <cell r="AB92">
            <v>0</v>
          </cell>
          <cell r="AC92">
            <v>0</v>
          </cell>
          <cell r="AD92" t="str">
            <v>U</v>
          </cell>
          <cell r="AE92" t="b">
            <v>0</v>
          </cell>
          <cell r="AF92" t="b">
            <v>0</v>
          </cell>
          <cell r="AG92" t="b">
            <v>0</v>
          </cell>
          <cell r="AH92" t="b">
            <v>1</v>
          </cell>
        </row>
        <row r="93">
          <cell r="A93" t="str">
            <v>Aryan Padha</v>
          </cell>
          <cell r="B93" t="str">
            <v>9D</v>
          </cell>
          <cell r="AB93">
            <v>0</v>
          </cell>
          <cell r="AC93">
            <v>0</v>
          </cell>
          <cell r="AD93" t="str">
            <v>U</v>
          </cell>
          <cell r="AE93" t="b">
            <v>0</v>
          </cell>
          <cell r="AF93" t="b">
            <v>0</v>
          </cell>
          <cell r="AG93" t="b">
            <v>0</v>
          </cell>
          <cell r="AH93" t="b">
            <v>1</v>
          </cell>
        </row>
        <row r="94">
          <cell r="A94" t="str">
            <v>Naivedya Pathak</v>
          </cell>
          <cell r="B94" t="str">
            <v>9D</v>
          </cell>
          <cell r="AB94">
            <v>0</v>
          </cell>
          <cell r="AC94">
            <v>0</v>
          </cell>
          <cell r="AD94" t="str">
            <v>U</v>
          </cell>
          <cell r="AE94" t="b">
            <v>0</v>
          </cell>
          <cell r="AF94" t="b">
            <v>0</v>
          </cell>
          <cell r="AG94" t="b">
            <v>0</v>
          </cell>
          <cell r="AH94" t="b">
            <v>1</v>
          </cell>
        </row>
        <row r="95">
          <cell r="A95" t="str">
            <v>Vedant Paul</v>
          </cell>
          <cell r="B95" t="str">
            <v>9D</v>
          </cell>
          <cell r="AB95">
            <v>0</v>
          </cell>
          <cell r="AC95">
            <v>0</v>
          </cell>
          <cell r="AD95" t="str">
            <v>U</v>
          </cell>
          <cell r="AE95" t="b">
            <v>0</v>
          </cell>
          <cell r="AF95" t="b">
            <v>0</v>
          </cell>
          <cell r="AG95" t="b">
            <v>0</v>
          </cell>
          <cell r="AH95" t="b">
            <v>1</v>
          </cell>
        </row>
        <row r="96">
          <cell r="A96" t="str">
            <v>Darshil Saxena</v>
          </cell>
          <cell r="B96" t="str">
            <v>9D</v>
          </cell>
          <cell r="AB96">
            <v>0</v>
          </cell>
          <cell r="AC96">
            <v>0</v>
          </cell>
          <cell r="AD96" t="str">
            <v>U</v>
          </cell>
          <cell r="AE96" t="b">
            <v>0</v>
          </cell>
          <cell r="AF96" t="b">
            <v>0</v>
          </cell>
          <cell r="AG96" t="b">
            <v>0</v>
          </cell>
          <cell r="AH96" t="b">
            <v>1</v>
          </cell>
        </row>
        <row r="97">
          <cell r="A97" t="str">
            <v>Jules Topple</v>
          </cell>
          <cell r="B97" t="str">
            <v>9D</v>
          </cell>
          <cell r="C97" t="str">
            <v>T</v>
          </cell>
          <cell r="AB97">
            <v>0</v>
          </cell>
          <cell r="AC97">
            <v>0</v>
          </cell>
          <cell r="AD97" t="str">
            <v>U</v>
          </cell>
          <cell r="AE97" t="b">
            <v>1</v>
          </cell>
          <cell r="AF97" t="b">
            <v>0</v>
          </cell>
          <cell r="AG97" t="b">
            <v>0</v>
          </cell>
          <cell r="AH97" t="b">
            <v>0</v>
          </cell>
        </row>
        <row r="98">
          <cell r="A98" t="str">
            <v>Zayan Usman</v>
          </cell>
          <cell r="B98" t="str">
            <v>9D</v>
          </cell>
          <cell r="AB98">
            <v>0</v>
          </cell>
          <cell r="AC98">
            <v>0</v>
          </cell>
          <cell r="AD98" t="str">
            <v>U</v>
          </cell>
          <cell r="AE98" t="b">
            <v>0</v>
          </cell>
          <cell r="AF98" t="b">
            <v>0</v>
          </cell>
          <cell r="AG98" t="b">
            <v>0</v>
          </cell>
          <cell r="AH98" t="b">
            <v>1</v>
          </cell>
        </row>
        <row r="99">
          <cell r="A99" t="str">
            <v>9D average</v>
          </cell>
          <cell r="AB99">
            <v>0</v>
          </cell>
          <cell r="AC99">
            <v>0</v>
          </cell>
          <cell r="AD99" t="str">
            <v>U</v>
          </cell>
          <cell r="AE99" t="b">
            <v>0</v>
          </cell>
          <cell r="AF99" t="b">
            <v>0</v>
          </cell>
          <cell r="AG99" t="b">
            <v>0</v>
          </cell>
          <cell r="AH99" t="b">
            <v>1</v>
          </cell>
        </row>
      </sheetData>
      <sheetData sheetId="4">
        <row r="7">
          <cell r="D7">
            <v>1</v>
          </cell>
          <cell r="F7">
            <v>1.5</v>
          </cell>
          <cell r="G7">
            <v>1.3913043478260869</v>
          </cell>
          <cell r="I7" t="str">
            <v>4 Computer systems</v>
          </cell>
          <cell r="J7" t="str">
            <v>Knowledge and understanding (AO1)</v>
          </cell>
        </row>
        <row r="8">
          <cell r="D8">
            <v>2</v>
          </cell>
          <cell r="F8">
            <v>1.3913043478260869</v>
          </cell>
          <cell r="G8">
            <v>1.4347826086956521</v>
          </cell>
          <cell r="I8" t="str">
            <v>4 Computer systems</v>
          </cell>
          <cell r="J8" t="str">
            <v>Knowledge and understanding (AO1)</v>
          </cell>
        </row>
        <row r="9">
          <cell r="D9">
            <v>1</v>
          </cell>
          <cell r="F9">
            <v>0.82608695652173914</v>
          </cell>
          <cell r="G9">
            <v>0.86956521739130432</v>
          </cell>
          <cell r="I9" t="str">
            <v>3 Data representation</v>
          </cell>
          <cell r="J9" t="str">
            <v>Application of knowledge (AO2)</v>
          </cell>
        </row>
        <row r="10">
          <cell r="D10">
            <v>1</v>
          </cell>
          <cell r="F10">
            <v>1.3913043478260871</v>
          </cell>
          <cell r="G10">
            <v>1.3913043478260869</v>
          </cell>
          <cell r="I10" t="str">
            <v>3 Data representation</v>
          </cell>
          <cell r="J10" t="str">
            <v>Application of knowledge (AO2)</v>
          </cell>
        </row>
        <row r="11">
          <cell r="D11">
            <v>3</v>
          </cell>
          <cell r="F11">
            <v>2.5434782608695654</v>
          </cell>
          <cell r="G11">
            <v>2.3913043478260869</v>
          </cell>
          <cell r="I11" t="str">
            <v>4 Computer systems</v>
          </cell>
          <cell r="J11" t="str">
            <v>Application of knowledge (AO2)</v>
          </cell>
        </row>
        <row r="12">
          <cell r="D12">
            <v>3</v>
          </cell>
          <cell r="F12">
            <v>2.6956521739130435</v>
          </cell>
          <cell r="G12">
            <v>2.6086956521739131</v>
          </cell>
          <cell r="I12" t="str">
            <v>4 Computer systems</v>
          </cell>
          <cell r="J12" t="str">
            <v>Application of knowledge (AO2)</v>
          </cell>
        </row>
        <row r="13">
          <cell r="D13">
            <v>2</v>
          </cell>
          <cell r="F13">
            <v>1.6521739130434783</v>
          </cell>
          <cell r="G13">
            <v>1.7391304347826086</v>
          </cell>
          <cell r="I13" t="str">
            <v>3 Data representation</v>
          </cell>
          <cell r="J13" t="str">
            <v>Application of knowledge (AO2)</v>
          </cell>
        </row>
        <row r="14">
          <cell r="D14">
            <v>1</v>
          </cell>
          <cell r="F14">
            <v>0.82608695652173914</v>
          </cell>
          <cell r="G14">
            <v>0.82608695652173914</v>
          </cell>
          <cell r="I14" t="str">
            <v>3 Data representation</v>
          </cell>
          <cell r="J14" t="str">
            <v>Application of knowledge (AO2)</v>
          </cell>
        </row>
        <row r="15">
          <cell r="D15">
            <v>1</v>
          </cell>
          <cell r="F15">
            <v>0.78260869565217384</v>
          </cell>
          <cell r="G15">
            <v>0.78260869565217395</v>
          </cell>
          <cell r="I15" t="str">
            <v>3 Data representation</v>
          </cell>
          <cell r="J15" t="str">
            <v>Application of knowledge (AO2)</v>
          </cell>
        </row>
        <row r="16">
          <cell r="D16">
            <v>1</v>
          </cell>
          <cell r="F16">
            <v>0.71739130434782605</v>
          </cell>
          <cell r="G16">
            <v>0.78260869565217395</v>
          </cell>
          <cell r="I16" t="str">
            <v>3 Data representation</v>
          </cell>
          <cell r="J16" t="str">
            <v>Application of knowledge (AO2)</v>
          </cell>
        </row>
        <row r="17">
          <cell r="D17">
            <v>0</v>
          </cell>
          <cell r="F17">
            <v>0.73913043478260876</v>
          </cell>
          <cell r="G17">
            <v>0.60869565217391308</v>
          </cell>
          <cell r="I17" t="str">
            <v>3 Data representation</v>
          </cell>
          <cell r="J17" t="str">
            <v>Knowledge and understanding (AO1)</v>
          </cell>
        </row>
        <row r="18">
          <cell r="D18">
            <v>2</v>
          </cell>
          <cell r="F18">
            <v>0.78260869565217384</v>
          </cell>
          <cell r="G18">
            <v>1.0434782608695652</v>
          </cell>
          <cell r="I18" t="str">
            <v>3 Data representation</v>
          </cell>
          <cell r="J18" t="str">
            <v>Application of knowledge (AO2)</v>
          </cell>
        </row>
        <row r="19">
          <cell r="D19">
            <v>2</v>
          </cell>
          <cell r="F19">
            <v>1.3913043478260871</v>
          </cell>
          <cell r="G19">
            <v>1.3478260869565217</v>
          </cell>
          <cell r="I19" t="str">
            <v>2 Programming</v>
          </cell>
          <cell r="J19" t="str">
            <v>Programming (AO3)</v>
          </cell>
        </row>
        <row r="20">
          <cell r="D20">
            <v>5</v>
          </cell>
          <cell r="F20">
            <v>4.304347826086957</v>
          </cell>
          <cell r="G20">
            <v>3.7391304347826089</v>
          </cell>
          <cell r="I20" t="str">
            <v>2 Programming</v>
          </cell>
          <cell r="J20" t="str">
            <v>Programming (AO3)</v>
          </cell>
        </row>
        <row r="21">
          <cell r="D21">
            <v>1</v>
          </cell>
          <cell r="F21">
            <v>0.34782608695652173</v>
          </cell>
          <cell r="G21">
            <v>0.43478260869565216</v>
          </cell>
          <cell r="I21" t="str">
            <v>2 Programming</v>
          </cell>
          <cell r="J21" t="str">
            <v>Application of knowledge (AO2)</v>
          </cell>
        </row>
        <row r="22">
          <cell r="D22">
            <v>2</v>
          </cell>
          <cell r="F22">
            <v>1.4130434782608698</v>
          </cell>
          <cell r="G22">
            <v>1.3478260869565217</v>
          </cell>
          <cell r="I22" t="str">
            <v>2 Programming</v>
          </cell>
          <cell r="J22" t="str">
            <v>Knowledge and understanding (AO1)</v>
          </cell>
        </row>
        <row r="23">
          <cell r="D23">
            <v>1</v>
          </cell>
          <cell r="F23">
            <v>1.3913043478260869</v>
          </cell>
          <cell r="G23">
            <v>1.3043478260869565</v>
          </cell>
          <cell r="I23" t="str">
            <v>1 Algorithms</v>
          </cell>
          <cell r="J23" t="str">
            <v>Knowledge and understanding (AO1)</v>
          </cell>
        </row>
        <row r="24">
          <cell r="D24">
            <v>3</v>
          </cell>
          <cell r="F24">
            <v>2.3913043478260869</v>
          </cell>
          <cell r="G24">
            <v>2.4347826086956523</v>
          </cell>
          <cell r="I24" t="str">
            <v>1 Algorithms</v>
          </cell>
          <cell r="J24" t="str">
            <v>Application of knowledge (AO2)</v>
          </cell>
        </row>
        <row r="25">
          <cell r="D25">
            <v>0</v>
          </cell>
          <cell r="F25">
            <v>1.1956521739130435</v>
          </cell>
          <cell r="G25">
            <v>1.3913043478260869</v>
          </cell>
          <cell r="I25" t="str">
            <v>1 Algorithms</v>
          </cell>
          <cell r="J25" t="str">
            <v>Knowledge and understanding (AO1)</v>
          </cell>
        </row>
        <row r="26">
          <cell r="D26">
            <v>1</v>
          </cell>
          <cell r="F26">
            <v>0.69565217391304346</v>
          </cell>
          <cell r="G26">
            <v>0.73913043478260876</v>
          </cell>
          <cell r="I26" t="str">
            <v>1 Algorithms</v>
          </cell>
          <cell r="J26" t="str">
            <v>Knowledge and understanding (AO1)</v>
          </cell>
        </row>
        <row r="27">
          <cell r="D27">
            <v>6</v>
          </cell>
          <cell r="F27">
            <v>3.5652173913043477</v>
          </cell>
          <cell r="G27">
            <v>3.1304347826086958</v>
          </cell>
          <cell r="I27" t="str">
            <v>1 Algorithms</v>
          </cell>
          <cell r="J27" t="str">
            <v>Application of knowledge (AO2)</v>
          </cell>
        </row>
        <row r="28">
          <cell r="D28">
            <v>1</v>
          </cell>
          <cell r="F28">
            <v>0.28260869565217389</v>
          </cell>
          <cell r="G28">
            <v>0.2608695652173913</v>
          </cell>
          <cell r="I28" t="str">
            <v>1 Algorithms</v>
          </cell>
          <cell r="J28" t="str">
            <v>Analysis (AO3)</v>
          </cell>
        </row>
        <row r="29">
          <cell r="D29">
            <v>1</v>
          </cell>
          <cell r="F29">
            <v>0.71739130434782605</v>
          </cell>
          <cell r="G29">
            <v>0.78260869565217395</v>
          </cell>
          <cell r="I29" t="str">
            <v>2 Programming</v>
          </cell>
          <cell r="J29" t="str">
            <v>Analysis (AO3)</v>
          </cell>
        </row>
        <row r="30">
          <cell r="D30">
            <v>6</v>
          </cell>
          <cell r="F30">
            <v>3.1956521739130435</v>
          </cell>
          <cell r="G30">
            <v>2.7826086956521738</v>
          </cell>
          <cell r="I30" t="str">
            <v>2 Programming</v>
          </cell>
          <cell r="J30" t="str">
            <v>Programming (AO3)</v>
          </cell>
        </row>
        <row r="40">
          <cell r="K40" t="str">
            <v>1 Algorithms</v>
          </cell>
          <cell r="P40">
            <v>16</v>
          </cell>
          <cell r="Q40">
            <v>12</v>
          </cell>
          <cell r="R40">
            <v>0.75</v>
          </cell>
          <cell r="V40" t="str">
            <v>Analysis (AO3)</v>
          </cell>
          <cell r="AA40">
            <v>2</v>
          </cell>
          <cell r="AB40">
            <v>2</v>
          </cell>
          <cell r="AC40">
            <v>1</v>
          </cell>
        </row>
        <row r="41">
          <cell r="K41" t="str">
            <v>2 Programming</v>
          </cell>
          <cell r="P41">
            <v>20</v>
          </cell>
          <cell r="Q41">
            <v>17</v>
          </cell>
          <cell r="R41">
            <v>0.85</v>
          </cell>
          <cell r="V41" t="str">
            <v>Application of knowledge (AO2)</v>
          </cell>
          <cell r="AA41">
            <v>27</v>
          </cell>
          <cell r="AB41">
            <v>25</v>
          </cell>
          <cell r="AC41">
            <v>0.92592592592592593</v>
          </cell>
        </row>
        <row r="42">
          <cell r="K42" t="str">
            <v>3 Data representation</v>
          </cell>
          <cell r="P42">
            <v>12</v>
          </cell>
          <cell r="Q42">
            <v>9</v>
          </cell>
          <cell r="R42">
            <v>0.75</v>
          </cell>
          <cell r="V42" t="str">
            <v>Knowledge and understanding (AO1)</v>
          </cell>
          <cell r="AA42">
            <v>15</v>
          </cell>
          <cell r="AB42">
            <v>7</v>
          </cell>
          <cell r="AC42">
            <v>0.46666666666666667</v>
          </cell>
        </row>
        <row r="43">
          <cell r="K43" t="str">
            <v>4 Computer systems</v>
          </cell>
          <cell r="P43">
            <v>12</v>
          </cell>
          <cell r="Q43">
            <v>9</v>
          </cell>
          <cell r="R43">
            <v>0.75</v>
          </cell>
          <cell r="V43" t="str">
            <v>Programming (AO3)</v>
          </cell>
          <cell r="AA43">
            <v>16</v>
          </cell>
          <cell r="AB43">
            <v>13</v>
          </cell>
          <cell r="AC43">
            <v>0.8125</v>
          </cell>
        </row>
      </sheetData>
      <sheetData sheetId="5" refreshError="1"/>
      <sheetData sheetId="6" refreshError="1"/>
      <sheetData sheetId="7">
        <row r="12">
          <cell r="B12" t="b">
            <v>0</v>
          </cell>
        </row>
        <row r="13">
          <cell r="B13" t="b">
            <v>0</v>
          </cell>
        </row>
        <row r="14">
          <cell r="B14" t="b">
            <v>0</v>
          </cell>
        </row>
      </sheetData>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rebeccaallen.co.uk/2019/04/27/grading-game-part-iii/" TargetMode="Externa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E8BF8-FBCB-4F23-AF52-2C20EDDACC1A}">
  <sheetPr codeName="Sheet3" filterMode="1">
    <tabColor rgb="FFFFFF00"/>
  </sheetPr>
  <dimension ref="A1:E34"/>
  <sheetViews>
    <sheetView workbookViewId="0"/>
  </sheetViews>
  <sheetFormatPr defaultColWidth="8.85546875" defaultRowHeight="15" x14ac:dyDescent="0.25"/>
  <cols>
    <col min="1" max="1" width="77.7109375" customWidth="1"/>
    <col min="4" max="4" width="10.28515625" customWidth="1"/>
  </cols>
  <sheetData>
    <row r="1" spans="1:5" s="57" customFormat="1" x14ac:dyDescent="0.25">
      <c r="A1" s="56" t="s">
        <v>21</v>
      </c>
      <c r="B1" s="56" t="s">
        <v>22</v>
      </c>
      <c r="C1" s="56" t="s">
        <v>23</v>
      </c>
      <c r="D1" s="56" t="s">
        <v>30</v>
      </c>
    </row>
    <row r="2" spans="1:5" hidden="1" x14ac:dyDescent="0.25">
      <c r="A2" t="s">
        <v>16</v>
      </c>
      <c r="B2" t="s">
        <v>27</v>
      </c>
      <c r="C2" t="s">
        <v>24</v>
      </c>
      <c r="D2" t="s">
        <v>31</v>
      </c>
    </row>
    <row r="3" spans="1:5" hidden="1" x14ac:dyDescent="0.25">
      <c r="A3" t="s">
        <v>29</v>
      </c>
      <c r="B3" t="s">
        <v>27</v>
      </c>
      <c r="C3" t="s">
        <v>24</v>
      </c>
      <c r="D3" t="s">
        <v>31</v>
      </c>
    </row>
    <row r="4" spans="1:5" hidden="1" x14ac:dyDescent="0.25">
      <c r="A4" t="s">
        <v>17</v>
      </c>
      <c r="B4" t="s">
        <v>27</v>
      </c>
      <c r="C4" t="s">
        <v>25</v>
      </c>
      <c r="D4" t="s">
        <v>31</v>
      </c>
    </row>
    <row r="5" spans="1:5" hidden="1" x14ac:dyDescent="0.25">
      <c r="A5" t="s">
        <v>18</v>
      </c>
      <c r="B5" t="s">
        <v>25</v>
      </c>
      <c r="C5" t="s">
        <v>26</v>
      </c>
      <c r="D5" t="s">
        <v>31</v>
      </c>
    </row>
    <row r="6" spans="1:5" hidden="1" x14ac:dyDescent="0.25">
      <c r="A6" t="s">
        <v>19</v>
      </c>
      <c r="B6" t="s">
        <v>25</v>
      </c>
      <c r="C6" t="s">
        <v>25</v>
      </c>
      <c r="D6" t="s">
        <v>31</v>
      </c>
    </row>
    <row r="7" spans="1:5" hidden="1" x14ac:dyDescent="0.25">
      <c r="A7" t="s">
        <v>20</v>
      </c>
      <c r="B7" t="s">
        <v>25</v>
      </c>
      <c r="C7" t="s">
        <v>24</v>
      </c>
      <c r="D7" t="s">
        <v>31</v>
      </c>
    </row>
    <row r="8" spans="1:5" hidden="1" x14ac:dyDescent="0.25">
      <c r="A8" t="s">
        <v>28</v>
      </c>
      <c r="B8" t="s">
        <v>25</v>
      </c>
      <c r="C8" t="s">
        <v>25</v>
      </c>
      <c r="D8" t="s">
        <v>31</v>
      </c>
    </row>
    <row r="9" spans="1:5" hidden="1" x14ac:dyDescent="0.25">
      <c r="A9" t="s">
        <v>49</v>
      </c>
      <c r="B9" t="s">
        <v>25</v>
      </c>
      <c r="C9" t="s">
        <v>25</v>
      </c>
      <c r="D9" t="s">
        <v>31</v>
      </c>
    </row>
    <row r="10" spans="1:5" hidden="1" x14ac:dyDescent="0.25">
      <c r="A10" t="s">
        <v>33</v>
      </c>
      <c r="B10" t="s">
        <v>25</v>
      </c>
      <c r="C10" t="s">
        <v>25</v>
      </c>
      <c r="D10" t="s">
        <v>31</v>
      </c>
    </row>
    <row r="11" spans="1:5" hidden="1" x14ac:dyDescent="0.25">
      <c r="A11" t="s">
        <v>41</v>
      </c>
      <c r="B11" t="s">
        <v>25</v>
      </c>
      <c r="C11" t="s">
        <v>25</v>
      </c>
      <c r="D11" t="s">
        <v>31</v>
      </c>
    </row>
    <row r="12" spans="1:5" hidden="1" x14ac:dyDescent="0.25">
      <c r="A12" t="s">
        <v>43</v>
      </c>
      <c r="B12" t="s">
        <v>25</v>
      </c>
      <c r="C12" t="s">
        <v>25</v>
      </c>
      <c r="D12" t="s">
        <v>31</v>
      </c>
    </row>
    <row r="13" spans="1:5" x14ac:dyDescent="0.25">
      <c r="A13" t="s">
        <v>44</v>
      </c>
      <c r="B13" t="s">
        <v>25</v>
      </c>
      <c r="C13" t="s">
        <v>25</v>
      </c>
      <c r="D13" t="s">
        <v>55</v>
      </c>
      <c r="E13" t="s">
        <v>54</v>
      </c>
    </row>
    <row r="14" spans="1:5" hidden="1" x14ac:dyDescent="0.25">
      <c r="A14" t="s">
        <v>45</v>
      </c>
      <c r="B14" t="s">
        <v>42</v>
      </c>
      <c r="C14" t="s">
        <v>24</v>
      </c>
      <c r="D14" t="s">
        <v>31</v>
      </c>
    </row>
    <row r="15" spans="1:5" hidden="1" x14ac:dyDescent="0.25">
      <c r="A15" t="s">
        <v>46</v>
      </c>
      <c r="B15" t="s">
        <v>25</v>
      </c>
      <c r="C15" t="s">
        <v>24</v>
      </c>
      <c r="D15" t="s">
        <v>31</v>
      </c>
    </row>
    <row r="16" spans="1:5" hidden="1" x14ac:dyDescent="0.25">
      <c r="A16" t="s">
        <v>48</v>
      </c>
      <c r="B16" t="s">
        <v>25</v>
      </c>
      <c r="C16" t="s">
        <v>24</v>
      </c>
      <c r="D16" t="s">
        <v>31</v>
      </c>
    </row>
    <row r="17" spans="1:5" hidden="1" x14ac:dyDescent="0.25">
      <c r="A17" t="s">
        <v>56</v>
      </c>
      <c r="B17" t="s">
        <v>25</v>
      </c>
      <c r="C17" t="s">
        <v>25</v>
      </c>
      <c r="D17" t="s">
        <v>31</v>
      </c>
    </row>
    <row r="18" spans="1:5" hidden="1" x14ac:dyDescent="0.25">
      <c r="A18" t="s">
        <v>57</v>
      </c>
      <c r="B18" t="s">
        <v>27</v>
      </c>
      <c r="C18" t="s">
        <v>24</v>
      </c>
      <c r="D18" t="s">
        <v>31</v>
      </c>
    </row>
    <row r="19" spans="1:5" hidden="1" x14ac:dyDescent="0.25">
      <c r="A19" t="s">
        <v>58</v>
      </c>
      <c r="B19" t="s">
        <v>27</v>
      </c>
      <c r="C19" t="s">
        <v>25</v>
      </c>
      <c r="D19" t="s">
        <v>31</v>
      </c>
    </row>
    <row r="20" spans="1:5" hidden="1" x14ac:dyDescent="0.25">
      <c r="A20" t="s">
        <v>59</v>
      </c>
      <c r="B20" t="s">
        <v>25</v>
      </c>
      <c r="C20" t="s">
        <v>25</v>
      </c>
      <c r="D20" t="s">
        <v>31</v>
      </c>
    </row>
    <row r="21" spans="1:5" x14ac:dyDescent="0.25">
      <c r="A21" t="s">
        <v>70</v>
      </c>
      <c r="B21" t="s">
        <v>25</v>
      </c>
      <c r="C21" t="s">
        <v>26</v>
      </c>
    </row>
    <row r="22" spans="1:5" hidden="1" x14ac:dyDescent="0.25">
      <c r="A22" t="s">
        <v>60</v>
      </c>
      <c r="B22" t="s">
        <v>27</v>
      </c>
      <c r="C22" t="s">
        <v>25</v>
      </c>
      <c r="D22" t="s">
        <v>31</v>
      </c>
    </row>
    <row r="23" spans="1:5" ht="31.5" hidden="1" x14ac:dyDescent="0.25">
      <c r="A23" s="58" t="s">
        <v>68</v>
      </c>
      <c r="B23" t="s">
        <v>25</v>
      </c>
      <c r="C23" t="s">
        <v>24</v>
      </c>
      <c r="D23" t="s">
        <v>31</v>
      </c>
    </row>
    <row r="24" spans="1:5" ht="15.75" hidden="1" x14ac:dyDescent="0.25">
      <c r="A24" s="58" t="s">
        <v>61</v>
      </c>
      <c r="B24" t="s">
        <v>27</v>
      </c>
      <c r="C24" t="s">
        <v>25</v>
      </c>
      <c r="D24" t="s">
        <v>31</v>
      </c>
    </row>
    <row r="25" spans="1:5" ht="15.75" hidden="1" x14ac:dyDescent="0.25">
      <c r="A25" s="58" t="s">
        <v>62</v>
      </c>
      <c r="B25" t="s">
        <v>25</v>
      </c>
      <c r="C25" t="s">
        <v>25</v>
      </c>
      <c r="D25" t="s">
        <v>31</v>
      </c>
    </row>
    <row r="26" spans="1:5" ht="15.75" hidden="1" x14ac:dyDescent="0.25">
      <c r="A26" s="58" t="s">
        <v>63</v>
      </c>
      <c r="B26" t="s">
        <v>27</v>
      </c>
      <c r="C26" t="s">
        <v>24</v>
      </c>
      <c r="D26" t="s">
        <v>31</v>
      </c>
    </row>
    <row r="27" spans="1:5" ht="15.75" hidden="1" x14ac:dyDescent="0.25">
      <c r="A27" s="58" t="s">
        <v>64</v>
      </c>
      <c r="B27" t="s">
        <v>25</v>
      </c>
      <c r="C27" t="s">
        <v>25</v>
      </c>
      <c r="D27" t="s">
        <v>31</v>
      </c>
    </row>
    <row r="28" spans="1:5" ht="15.75" hidden="1" x14ac:dyDescent="0.25">
      <c r="A28" s="58" t="s">
        <v>69</v>
      </c>
      <c r="B28" t="s">
        <v>25</v>
      </c>
      <c r="C28" t="s">
        <v>25</v>
      </c>
      <c r="D28" t="s">
        <v>31</v>
      </c>
    </row>
    <row r="29" spans="1:5" x14ac:dyDescent="0.25">
      <c r="A29" t="s">
        <v>71</v>
      </c>
      <c r="B29" t="s">
        <v>42</v>
      </c>
      <c r="C29" t="s">
        <v>25</v>
      </c>
      <c r="D29" t="s">
        <v>73</v>
      </c>
      <c r="E29" t="s">
        <v>72</v>
      </c>
    </row>
    <row r="31" spans="1:5" ht="15.75" x14ac:dyDescent="0.25">
      <c r="A31" s="58" t="s">
        <v>65</v>
      </c>
    </row>
    <row r="33" spans="1:1" x14ac:dyDescent="0.25">
      <c r="A33" t="s">
        <v>74</v>
      </c>
    </row>
    <row r="34" spans="1:1" ht="45" x14ac:dyDescent="0.25">
      <c r="A34" s="63" t="s">
        <v>75</v>
      </c>
    </row>
  </sheetData>
  <autoFilter ref="A1:E29" xr:uid="{BF87E3B9-C44F-4D5D-8FF6-C685BF328E66}">
    <filterColumn colId="3">
      <filters blank="1">
        <filter val="N"/>
        <filter val="Unconfirmed"/>
      </filters>
    </filterColumn>
  </autoFilter>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A96BC-A71A-40CC-A39A-F21221D033D2}">
  <sheetPr codeName="Sheet1">
    <tabColor theme="9"/>
  </sheetPr>
  <dimension ref="A1:H29"/>
  <sheetViews>
    <sheetView tabSelected="1" workbookViewId="0">
      <selection activeCell="B1" sqref="B1"/>
    </sheetView>
  </sheetViews>
  <sheetFormatPr defaultColWidth="8.85546875" defaultRowHeight="15" x14ac:dyDescent="0.25"/>
  <cols>
    <col min="1" max="1" width="5.28515625" customWidth="1"/>
    <col min="2" max="2" width="85.85546875" customWidth="1"/>
    <col min="5" max="5" width="4.140625" customWidth="1"/>
    <col min="6" max="6" width="9.28515625" customWidth="1"/>
    <col min="7" max="7" width="13.85546875" customWidth="1"/>
  </cols>
  <sheetData>
    <row r="1" spans="1:8" ht="26.25" x14ac:dyDescent="0.4">
      <c r="A1" s="64" t="s">
        <v>76</v>
      </c>
    </row>
    <row r="2" spans="1:8" x14ac:dyDescent="0.25">
      <c r="A2" s="46" t="str">
        <f>'AEAS Info'!B4</f>
        <v>June 2024 Beta D</v>
      </c>
    </row>
    <row r="3" spans="1:8" x14ac:dyDescent="0.25">
      <c r="A3" s="46"/>
    </row>
    <row r="4" spans="1:8" ht="18.75" x14ac:dyDescent="0.3">
      <c r="A4" s="13" t="s">
        <v>11</v>
      </c>
      <c r="E4" s="71"/>
      <c r="F4" s="72"/>
      <c r="G4" s="72"/>
      <c r="H4" s="73"/>
    </row>
    <row r="5" spans="1:8" ht="18.75" x14ac:dyDescent="0.3">
      <c r="E5" s="74"/>
      <c r="F5" s="146" t="s">
        <v>81</v>
      </c>
      <c r="G5" s="146"/>
      <c r="H5" s="75"/>
    </row>
    <row r="6" spans="1:8" x14ac:dyDescent="0.25">
      <c r="A6" t="s">
        <v>173</v>
      </c>
      <c r="E6" s="74"/>
      <c r="F6" s="145"/>
      <c r="G6" s="145"/>
      <c r="H6" s="75"/>
    </row>
    <row r="7" spans="1:8" x14ac:dyDescent="0.25">
      <c r="E7" s="74"/>
      <c r="F7" s="145" t="s">
        <v>82</v>
      </c>
      <c r="G7" s="145"/>
      <c r="H7" s="75"/>
    </row>
    <row r="8" spans="1:8" x14ac:dyDescent="0.25">
      <c r="B8" s="1" t="s">
        <v>77</v>
      </c>
      <c r="E8" s="74"/>
      <c r="F8" s="145"/>
      <c r="G8" s="145"/>
      <c r="H8" s="75"/>
    </row>
    <row r="9" spans="1:8" ht="35.85" customHeight="1" x14ac:dyDescent="0.25">
      <c r="B9" s="117" t="s">
        <v>174</v>
      </c>
      <c r="E9" s="74"/>
      <c r="F9" s="145"/>
      <c r="G9" s="145"/>
      <c r="H9" s="75"/>
    </row>
    <row r="10" spans="1:8" ht="23.85" customHeight="1" x14ac:dyDescent="0.25">
      <c r="B10" s="117"/>
      <c r="E10" s="74"/>
      <c r="F10" s="145" t="s">
        <v>83</v>
      </c>
      <c r="G10" s="145"/>
      <c r="H10" s="75"/>
    </row>
    <row r="11" spans="1:8" x14ac:dyDescent="0.25">
      <c r="E11" s="74"/>
      <c r="F11" s="145"/>
      <c r="G11" s="145"/>
      <c r="H11" s="75"/>
    </row>
    <row r="12" spans="1:8" x14ac:dyDescent="0.25">
      <c r="B12" s="1" t="s">
        <v>78</v>
      </c>
      <c r="E12" s="74"/>
      <c r="F12" s="145"/>
      <c r="G12" s="145"/>
      <c r="H12" s="75"/>
    </row>
    <row r="13" spans="1:8" ht="50.1" customHeight="1" x14ac:dyDescent="0.25">
      <c r="B13" s="117" t="s">
        <v>175</v>
      </c>
      <c r="E13" s="74"/>
      <c r="F13" s="145" t="s">
        <v>84</v>
      </c>
      <c r="G13" s="145"/>
      <c r="H13" s="75"/>
    </row>
    <row r="14" spans="1:8" ht="42" customHeight="1" x14ac:dyDescent="0.25">
      <c r="B14" s="117"/>
      <c r="E14" s="74"/>
      <c r="F14" s="145"/>
      <c r="G14" s="145"/>
      <c r="H14" s="75"/>
    </row>
    <row r="15" spans="1:8" x14ac:dyDescent="0.25">
      <c r="B15" s="117"/>
      <c r="E15" s="74"/>
      <c r="F15" s="145"/>
      <c r="G15" s="145"/>
      <c r="H15" s="75"/>
    </row>
    <row r="16" spans="1:8" x14ac:dyDescent="0.25">
      <c r="B16" s="117"/>
      <c r="E16" s="74"/>
      <c r="F16" s="145"/>
      <c r="G16" s="145"/>
      <c r="H16" s="75"/>
    </row>
    <row r="17" spans="1:8" ht="15" customHeight="1" x14ac:dyDescent="0.25">
      <c r="E17" s="74"/>
      <c r="F17" s="145" t="s">
        <v>85</v>
      </c>
      <c r="G17" s="145"/>
      <c r="H17" s="75"/>
    </row>
    <row r="18" spans="1:8" x14ac:dyDescent="0.25">
      <c r="B18" s="1" t="s">
        <v>183</v>
      </c>
      <c r="E18" s="74"/>
      <c r="F18" s="145"/>
      <c r="G18" s="145"/>
      <c r="H18" s="75"/>
    </row>
    <row r="19" spans="1:8" ht="21" customHeight="1" x14ac:dyDescent="0.25">
      <c r="B19" s="116" t="s">
        <v>184</v>
      </c>
      <c r="E19" s="74"/>
      <c r="F19" s="145"/>
      <c r="G19" s="145"/>
      <c r="H19" s="75"/>
    </row>
    <row r="20" spans="1:8" ht="28.5" customHeight="1" x14ac:dyDescent="0.25">
      <c r="B20" s="116"/>
      <c r="E20" s="74"/>
      <c r="F20" s="145"/>
      <c r="G20" s="145"/>
      <c r="H20" s="75"/>
    </row>
    <row r="21" spans="1:8" ht="27" customHeight="1" x14ac:dyDescent="0.25">
      <c r="A21" s="63"/>
      <c r="B21" s="116"/>
      <c r="C21" s="63"/>
      <c r="D21" s="63"/>
      <c r="E21" s="76"/>
      <c r="F21" s="77"/>
      <c r="G21" s="77"/>
      <c r="H21" s="78"/>
    </row>
    <row r="22" spans="1:8" ht="16.5" customHeight="1" x14ac:dyDescent="0.25">
      <c r="A22" s="63"/>
      <c r="B22" s="103"/>
      <c r="C22" s="63"/>
      <c r="D22" s="63"/>
      <c r="E22" s="147"/>
      <c r="F22" s="147"/>
      <c r="G22" s="147"/>
      <c r="H22" s="147"/>
    </row>
    <row r="23" spans="1:8" ht="22.5" customHeight="1" x14ac:dyDescent="0.25">
      <c r="B23" s="104" t="s">
        <v>176</v>
      </c>
      <c r="E23" s="147"/>
      <c r="F23" s="147"/>
      <c r="G23" s="147"/>
      <c r="H23" s="147"/>
    </row>
    <row r="24" spans="1:8" ht="27" customHeight="1" x14ac:dyDescent="0.25">
      <c r="B24" s="116" t="s">
        <v>177</v>
      </c>
      <c r="E24" s="147"/>
      <c r="F24" s="147"/>
      <c r="G24" s="147"/>
      <c r="H24" s="147"/>
    </row>
    <row r="25" spans="1:8" ht="51" customHeight="1" x14ac:dyDescent="0.25">
      <c r="B25" s="116"/>
    </row>
    <row r="27" spans="1:8" x14ac:dyDescent="0.25">
      <c r="B27" s="1" t="s">
        <v>79</v>
      </c>
    </row>
    <row r="28" spans="1:8" ht="15" customHeight="1" x14ac:dyDescent="0.25">
      <c r="B28" s="116" t="s">
        <v>80</v>
      </c>
    </row>
    <row r="29" spans="1:8" x14ac:dyDescent="0.25">
      <c r="A29" s="63"/>
      <c r="B29" s="116"/>
    </row>
  </sheetData>
  <sheetProtection algorithmName="SHA-512" hashValue="UgmnUdPR4/qwLmuP9lwuXh7iFU7dJ4We1QGylPaGjpdXmz6ox4wPr19LlF4ZeB0gkByGvCLEJsNCgBUbhZ9VJg==" saltValue="h1WWszkG7WO2WPHZck+Alg==" spinCount="100000" sheet="1" objects="1" scenarios="1" selectLockedCells="1" selectUnlockedCells="1"/>
  <mergeCells count="6">
    <mergeCell ref="B19:B21"/>
    <mergeCell ref="B28:B29"/>
    <mergeCell ref="F5:G5"/>
    <mergeCell ref="B9:B10"/>
    <mergeCell ref="B13:B16"/>
    <mergeCell ref="B24:B2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selectSetupTab">
                <anchor moveWithCells="1" sizeWithCells="1">
                  <from>
                    <xdr:col>4</xdr:col>
                    <xdr:colOff>295275</xdr:colOff>
                    <xdr:row>7</xdr:row>
                    <xdr:rowOff>66675</xdr:rowOff>
                  </from>
                  <to>
                    <xdr:col>7</xdr:col>
                    <xdr:colOff>304800</xdr:colOff>
                    <xdr:row>8</xdr:row>
                    <xdr:rowOff>419100</xdr:rowOff>
                  </to>
                </anchor>
              </controlPr>
            </control>
          </mc:Choice>
        </mc:AlternateContent>
        <mc:AlternateContent xmlns:mc="http://schemas.openxmlformats.org/markup-compatibility/2006">
          <mc:Choice Requires="x14">
            <control shapeId="16387" r:id="rId5" name="Button 3">
              <controlPr defaultSize="0" print="0" autoFill="0" autoPict="0" macro="[0]!setupDataEntrySheet">
                <anchor moveWithCells="1" sizeWithCells="1">
                  <from>
                    <xdr:col>5</xdr:col>
                    <xdr:colOff>0</xdr:colOff>
                    <xdr:row>10</xdr:row>
                    <xdr:rowOff>114300</xdr:rowOff>
                  </from>
                  <to>
                    <xdr:col>7</xdr:col>
                    <xdr:colOff>333375</xdr:colOff>
                    <xdr:row>12</xdr:row>
                    <xdr:rowOff>295275</xdr:rowOff>
                  </to>
                </anchor>
              </controlPr>
            </control>
          </mc:Choice>
        </mc:AlternateContent>
        <mc:AlternateContent xmlns:mc="http://schemas.openxmlformats.org/markup-compatibility/2006">
          <mc:Choice Requires="x14">
            <control shapeId="16390" r:id="rId6" name="Button 6">
              <controlPr defaultSize="0" print="0" autoFill="0" autoPict="0" macro="[0]!PIS_GeneratePIS">
                <anchor moveWithCells="1" sizeWithCells="1">
                  <from>
                    <xdr:col>5</xdr:col>
                    <xdr:colOff>0</xdr:colOff>
                    <xdr:row>13</xdr:row>
                    <xdr:rowOff>142875</xdr:rowOff>
                  </from>
                  <to>
                    <xdr:col>7</xdr:col>
                    <xdr:colOff>295275</xdr:colOff>
                    <xdr:row>14</xdr:row>
                    <xdr:rowOff>142875</xdr:rowOff>
                  </to>
                </anchor>
              </controlPr>
            </control>
          </mc:Choice>
        </mc:AlternateContent>
        <mc:AlternateContent xmlns:mc="http://schemas.openxmlformats.org/markup-compatibility/2006">
          <mc:Choice Requires="x14">
            <control shapeId="16391" r:id="rId7" name="Button 7">
              <controlPr defaultSize="0" print="0" autoFill="0" autoPict="0" macro="[0]!CIS_Create_Cohort_Insight_Sheets">
                <anchor moveWithCells="1" sizeWithCells="1">
                  <from>
                    <xdr:col>5</xdr:col>
                    <xdr:colOff>9525</xdr:colOff>
                    <xdr:row>17</xdr:row>
                    <xdr:rowOff>142875</xdr:rowOff>
                  </from>
                  <to>
                    <xdr:col>7</xdr:col>
                    <xdr:colOff>276225</xdr:colOff>
                    <xdr:row>19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495D1-109F-4D1E-BFCC-F870730D1886}">
  <sheetPr codeName="Sheet4"/>
  <dimension ref="A1:V70"/>
  <sheetViews>
    <sheetView workbookViewId="0">
      <selection activeCell="A2" sqref="A2:D2"/>
    </sheetView>
  </sheetViews>
  <sheetFormatPr defaultColWidth="8.85546875" defaultRowHeight="15" x14ac:dyDescent="0.25"/>
  <cols>
    <col min="1" max="1" width="8.28515625" style="62" customWidth="1"/>
    <col min="2" max="2" width="10.85546875" style="62" customWidth="1"/>
    <col min="3" max="3" width="42.28515625" style="67" customWidth="1"/>
    <col min="4" max="4" width="39.28515625" style="67" customWidth="1"/>
    <col min="5" max="5" width="38.7109375" style="67" customWidth="1"/>
    <col min="6" max="6" width="4.28515625" customWidth="1"/>
    <col min="8" max="8" width="14.7109375" customWidth="1"/>
    <col min="9" max="9" width="5.28515625" customWidth="1"/>
    <col min="15" max="15" width="4.7109375" customWidth="1"/>
    <col min="16" max="16" width="8.85546875" customWidth="1"/>
  </cols>
  <sheetData>
    <row r="1" spans="1:22" ht="33.75" customHeight="1" x14ac:dyDescent="0.4">
      <c r="A1" s="64" t="s">
        <v>95</v>
      </c>
      <c r="B1" s="65"/>
      <c r="D1" s="67" t="s">
        <v>96</v>
      </c>
    </row>
    <row r="2" spans="1:22" ht="21" customHeight="1" x14ac:dyDescent="0.25">
      <c r="A2" s="118" t="s">
        <v>119</v>
      </c>
      <c r="B2" s="119"/>
      <c r="C2" s="119"/>
      <c r="D2" s="120"/>
      <c r="E2" s="68"/>
    </row>
    <row r="3" spans="1:22" ht="14.25" customHeight="1" x14ac:dyDescent="0.25">
      <c r="A3" s="65"/>
      <c r="B3" s="65"/>
    </row>
    <row r="4" spans="1:22" ht="26.25" x14ac:dyDescent="0.4">
      <c r="A4" s="64" t="s">
        <v>94</v>
      </c>
      <c r="B4" s="65"/>
      <c r="G4" s="14" t="s">
        <v>6</v>
      </c>
      <c r="P4" s="14" t="s">
        <v>128</v>
      </c>
    </row>
    <row r="5" spans="1:22" x14ac:dyDescent="0.25">
      <c r="A5" s="66" t="s">
        <v>11</v>
      </c>
      <c r="B5" s="65"/>
      <c r="G5" s="1" t="s">
        <v>11</v>
      </c>
      <c r="P5" s="1" t="s">
        <v>11</v>
      </c>
      <c r="R5" s="29"/>
    </row>
    <row r="6" spans="1:22" ht="38.25" customHeight="1" x14ac:dyDescent="0.25">
      <c r="A6" s="122" t="s">
        <v>118</v>
      </c>
      <c r="B6" s="122"/>
      <c r="C6" s="122"/>
      <c r="D6" s="122"/>
      <c r="E6" s="122"/>
      <c r="G6" s="117" t="s">
        <v>97</v>
      </c>
      <c r="H6" s="117"/>
      <c r="I6" s="117"/>
      <c r="J6" s="117"/>
      <c r="K6" s="117"/>
      <c r="L6" s="117"/>
      <c r="M6" s="117"/>
      <c r="P6" s="117" t="s">
        <v>129</v>
      </c>
      <c r="Q6" s="117"/>
      <c r="R6" s="117"/>
      <c r="S6" s="117"/>
      <c r="T6" s="117"/>
      <c r="U6" s="117"/>
      <c r="V6" s="117"/>
    </row>
    <row r="7" spans="1:22" ht="54" customHeight="1" x14ac:dyDescent="0.25">
      <c r="A7" s="122"/>
      <c r="B7" s="122"/>
      <c r="C7" s="122"/>
      <c r="D7" s="122"/>
      <c r="E7" s="122"/>
      <c r="G7" s="117"/>
      <c r="H7" s="117"/>
      <c r="I7" s="117"/>
      <c r="J7" s="117"/>
      <c r="K7" s="117"/>
      <c r="L7" s="117"/>
      <c r="M7" s="117"/>
      <c r="P7" s="117"/>
      <c r="Q7" s="117"/>
      <c r="R7" s="117"/>
      <c r="S7" s="117"/>
      <c r="T7" s="117"/>
      <c r="U7" s="117"/>
      <c r="V7" s="117"/>
    </row>
    <row r="8" spans="1:22" x14ac:dyDescent="0.25">
      <c r="A8" s="65"/>
      <c r="B8" s="65"/>
    </row>
    <row r="9" spans="1:22" x14ac:dyDescent="0.25">
      <c r="A9" s="121" t="s">
        <v>93</v>
      </c>
      <c r="B9" s="121" t="s">
        <v>0</v>
      </c>
      <c r="C9" s="123" t="s">
        <v>106</v>
      </c>
      <c r="D9" s="79" t="s">
        <v>117</v>
      </c>
      <c r="E9" s="79" t="s">
        <v>116</v>
      </c>
    </row>
    <row r="10" spans="1:22" s="1" customFormat="1" ht="16.5" customHeight="1" x14ac:dyDescent="0.25">
      <c r="A10" s="121"/>
      <c r="B10" s="121"/>
      <c r="C10" s="124"/>
      <c r="D10" s="84" t="s">
        <v>147</v>
      </c>
      <c r="E10" s="84" t="s">
        <v>148</v>
      </c>
      <c r="G10" s="16" t="s">
        <v>1</v>
      </c>
      <c r="H10" s="17" t="s">
        <v>12</v>
      </c>
      <c r="J10" s="1" t="s">
        <v>37</v>
      </c>
      <c r="P10" s="88" t="s">
        <v>130</v>
      </c>
      <c r="R10"/>
    </row>
    <row r="11" spans="1:22" x14ac:dyDescent="0.25">
      <c r="A11" s="62">
        <v>1</v>
      </c>
      <c r="B11" s="62">
        <v>2</v>
      </c>
      <c r="C11" s="67" t="s">
        <v>107</v>
      </c>
      <c r="D11" s="65" t="s">
        <v>86</v>
      </c>
      <c r="E11" s="65" t="s">
        <v>90</v>
      </c>
      <c r="G11" s="18">
        <v>0</v>
      </c>
      <c r="H11" s="19" t="s">
        <v>47</v>
      </c>
      <c r="J11" s="116" t="s">
        <v>38</v>
      </c>
      <c r="K11" s="116"/>
      <c r="L11" s="116"/>
      <c r="M11" s="116"/>
    </row>
    <row r="12" spans="1:22" x14ac:dyDescent="0.25">
      <c r="A12" s="62">
        <v>2</v>
      </c>
      <c r="B12" s="62">
        <v>3</v>
      </c>
      <c r="C12" s="67" t="s">
        <v>108</v>
      </c>
      <c r="D12" s="65" t="s">
        <v>87</v>
      </c>
      <c r="E12" s="65" t="s">
        <v>91</v>
      </c>
      <c r="G12" s="18">
        <v>0.1</v>
      </c>
      <c r="H12" s="19">
        <v>1</v>
      </c>
      <c r="J12" s="116"/>
      <c r="K12" s="116"/>
      <c r="L12" s="116"/>
      <c r="M12" s="116"/>
    </row>
    <row r="13" spans="1:22" x14ac:dyDescent="0.25">
      <c r="A13" s="62">
        <v>3</v>
      </c>
      <c r="B13" s="62">
        <v>1</v>
      </c>
      <c r="C13" s="67" t="s">
        <v>171</v>
      </c>
      <c r="D13" s="65" t="s">
        <v>88</v>
      </c>
      <c r="E13" s="65" t="s">
        <v>92</v>
      </c>
      <c r="G13" s="18">
        <v>0.2</v>
      </c>
      <c r="H13" s="19">
        <v>2</v>
      </c>
      <c r="J13" s="116"/>
      <c r="K13" s="116"/>
      <c r="L13" s="116"/>
      <c r="M13" s="116"/>
    </row>
    <row r="14" spans="1:22" x14ac:dyDescent="0.25">
      <c r="A14" s="62">
        <v>4</v>
      </c>
      <c r="B14" s="62">
        <v>1</v>
      </c>
      <c r="C14" s="67" t="s">
        <v>109</v>
      </c>
      <c r="D14" s="65" t="s">
        <v>89</v>
      </c>
      <c r="E14" s="65" t="s">
        <v>90</v>
      </c>
      <c r="G14" s="18">
        <v>0.3</v>
      </c>
      <c r="H14" s="19">
        <v>3</v>
      </c>
    </row>
    <row r="15" spans="1:22" x14ac:dyDescent="0.25">
      <c r="A15" s="62">
        <v>5</v>
      </c>
      <c r="B15" s="62">
        <v>1</v>
      </c>
      <c r="C15" s="67" t="s">
        <v>110</v>
      </c>
      <c r="D15" s="65" t="s">
        <v>86</v>
      </c>
      <c r="E15" s="65" t="s">
        <v>91</v>
      </c>
      <c r="G15" s="18">
        <v>0.4</v>
      </c>
      <c r="H15" s="19">
        <v>4</v>
      </c>
      <c r="J15" s="16" t="s">
        <v>39</v>
      </c>
      <c r="K15" s="17" t="s">
        <v>40</v>
      </c>
    </row>
    <row r="16" spans="1:22" x14ac:dyDescent="0.25">
      <c r="A16" s="62">
        <v>6</v>
      </c>
      <c r="B16" s="62">
        <v>1</v>
      </c>
      <c r="C16" s="67" t="s">
        <v>111</v>
      </c>
      <c r="D16" s="65" t="s">
        <v>87</v>
      </c>
      <c r="E16" s="65" t="s">
        <v>92</v>
      </c>
      <c r="G16" s="18">
        <v>0.5</v>
      </c>
      <c r="H16" s="19">
        <v>5</v>
      </c>
      <c r="J16" s="18">
        <v>0.85</v>
      </c>
      <c r="K16" s="39"/>
    </row>
    <row r="17" spans="1:11" x14ac:dyDescent="0.25">
      <c r="A17" s="62">
        <v>7</v>
      </c>
      <c r="B17" s="62">
        <v>1</v>
      </c>
      <c r="C17" s="67" t="s">
        <v>170</v>
      </c>
      <c r="D17" s="65" t="s">
        <v>88</v>
      </c>
      <c r="E17" s="65" t="s">
        <v>90</v>
      </c>
      <c r="G17" s="18">
        <v>0.6</v>
      </c>
      <c r="H17" s="19">
        <v>6</v>
      </c>
      <c r="J17" s="18">
        <v>0.7</v>
      </c>
      <c r="K17" s="40"/>
    </row>
    <row r="18" spans="1:11" x14ac:dyDescent="0.25">
      <c r="A18" s="62">
        <v>8</v>
      </c>
      <c r="B18" s="62">
        <v>1</v>
      </c>
      <c r="C18" s="67" t="s">
        <v>112</v>
      </c>
      <c r="D18" s="65" t="s">
        <v>89</v>
      </c>
      <c r="E18" s="65" t="s">
        <v>91</v>
      </c>
      <c r="G18" s="18">
        <v>0.7</v>
      </c>
      <c r="H18" s="19">
        <v>7</v>
      </c>
      <c r="J18" s="18">
        <v>0.5</v>
      </c>
      <c r="K18" s="41"/>
    </row>
    <row r="19" spans="1:11" x14ac:dyDescent="0.25">
      <c r="A19" s="62">
        <v>9</v>
      </c>
      <c r="B19" s="62">
        <v>1</v>
      </c>
      <c r="C19" s="67" t="s">
        <v>113</v>
      </c>
      <c r="D19" s="65" t="s">
        <v>86</v>
      </c>
      <c r="E19" s="65" t="s">
        <v>92</v>
      </c>
      <c r="G19" s="18">
        <v>0.8</v>
      </c>
      <c r="H19" s="19">
        <v>8</v>
      </c>
      <c r="J19" s="18">
        <v>0.35</v>
      </c>
      <c r="K19" s="42"/>
    </row>
    <row r="20" spans="1:11" x14ac:dyDescent="0.25">
      <c r="A20" s="62">
        <v>10</v>
      </c>
      <c r="B20" s="62">
        <v>1</v>
      </c>
      <c r="C20" s="67" t="s">
        <v>172</v>
      </c>
      <c r="D20" s="65" t="s">
        <v>87</v>
      </c>
      <c r="E20" s="65" t="s">
        <v>90</v>
      </c>
      <c r="G20" s="18">
        <v>0.9</v>
      </c>
      <c r="H20" s="19">
        <v>9</v>
      </c>
      <c r="J20" s="43">
        <v>0</v>
      </c>
      <c r="K20" s="44"/>
    </row>
    <row r="21" spans="1:11" x14ac:dyDescent="0.25">
      <c r="D21" s="65"/>
      <c r="G21" s="20"/>
      <c r="H21" s="19"/>
      <c r="I21" s="2"/>
    </row>
    <row r="22" spans="1:11" x14ac:dyDescent="0.25">
      <c r="D22" s="65"/>
      <c r="E22" s="65"/>
      <c r="G22" s="21"/>
      <c r="H22" s="22"/>
    </row>
    <row r="23" spans="1:11" x14ac:dyDescent="0.25">
      <c r="D23" s="65"/>
      <c r="E23" s="65"/>
      <c r="G23" s="21"/>
      <c r="H23" s="22"/>
    </row>
    <row r="24" spans="1:11" x14ac:dyDescent="0.25">
      <c r="D24" s="65"/>
      <c r="E24" s="65"/>
      <c r="G24" s="21"/>
      <c r="H24" s="22"/>
    </row>
    <row r="25" spans="1:11" x14ac:dyDescent="0.25">
      <c r="D25" s="65"/>
      <c r="E25" s="65"/>
      <c r="G25" s="21"/>
      <c r="H25" s="22"/>
    </row>
    <row r="26" spans="1:11" x14ac:dyDescent="0.25">
      <c r="D26" s="65"/>
      <c r="E26" s="65"/>
      <c r="G26" s="21"/>
      <c r="H26" s="22"/>
    </row>
    <row r="27" spans="1:11" x14ac:dyDescent="0.25">
      <c r="D27" s="65"/>
      <c r="E27" s="65"/>
      <c r="G27" s="21"/>
      <c r="H27" s="22"/>
    </row>
    <row r="28" spans="1:11" x14ac:dyDescent="0.25">
      <c r="D28" s="65"/>
      <c r="E28" s="65"/>
      <c r="G28" s="21"/>
      <c r="H28" s="22"/>
    </row>
    <row r="29" spans="1:11" x14ac:dyDescent="0.25">
      <c r="D29" s="65"/>
      <c r="E29" s="65"/>
      <c r="G29" s="21"/>
      <c r="H29" s="22"/>
    </row>
    <row r="30" spans="1:11" x14ac:dyDescent="0.25">
      <c r="D30" s="65"/>
      <c r="E30" s="65"/>
      <c r="G30" s="21"/>
      <c r="H30" s="22"/>
    </row>
    <row r="31" spans="1:11" x14ac:dyDescent="0.25">
      <c r="D31" s="65"/>
      <c r="E31" s="65"/>
      <c r="G31" s="21"/>
      <c r="H31" s="22"/>
    </row>
    <row r="32" spans="1:11" x14ac:dyDescent="0.25">
      <c r="D32" s="65"/>
      <c r="E32" s="65"/>
      <c r="G32" s="21"/>
      <c r="H32" s="22"/>
    </row>
    <row r="33" spans="2:8" x14ac:dyDescent="0.25">
      <c r="D33" s="65"/>
      <c r="E33" s="65"/>
      <c r="G33" s="21"/>
      <c r="H33" s="22"/>
    </row>
    <row r="34" spans="2:8" x14ac:dyDescent="0.25">
      <c r="D34" s="65"/>
      <c r="E34" s="65"/>
      <c r="G34" s="21"/>
      <c r="H34" s="22"/>
    </row>
    <row r="35" spans="2:8" x14ac:dyDescent="0.25">
      <c r="D35" s="65"/>
      <c r="E35" s="65"/>
      <c r="G35" s="21"/>
      <c r="H35" s="22"/>
    </row>
    <row r="36" spans="2:8" x14ac:dyDescent="0.25">
      <c r="D36" s="65"/>
      <c r="E36" s="65"/>
      <c r="G36" s="21"/>
      <c r="H36" s="22"/>
    </row>
    <row r="37" spans="2:8" x14ac:dyDescent="0.25">
      <c r="D37" s="65"/>
      <c r="E37" s="65"/>
      <c r="G37" s="21"/>
      <c r="H37" s="22"/>
    </row>
    <row r="38" spans="2:8" x14ac:dyDescent="0.25">
      <c r="D38" s="65"/>
      <c r="E38" s="65"/>
      <c r="G38" s="23"/>
      <c r="H38" s="24"/>
    </row>
    <row r="39" spans="2:8" x14ac:dyDescent="0.25">
      <c r="D39" s="65"/>
      <c r="E39" s="65"/>
    </row>
    <row r="40" spans="2:8" x14ac:dyDescent="0.25">
      <c r="B40" s="69"/>
      <c r="C40" s="86"/>
      <c r="D40" s="65"/>
      <c r="E40" s="65"/>
    </row>
    <row r="41" spans="2:8" x14ac:dyDescent="0.25">
      <c r="B41" s="69"/>
      <c r="C41" s="86"/>
      <c r="D41" s="65"/>
      <c r="E41" s="65"/>
    </row>
    <row r="42" spans="2:8" x14ac:dyDescent="0.25">
      <c r="B42" s="69"/>
      <c r="C42" s="86"/>
      <c r="D42" s="65"/>
      <c r="E42" s="65"/>
    </row>
    <row r="43" spans="2:8" x14ac:dyDescent="0.25">
      <c r="B43" s="69"/>
      <c r="C43" s="86"/>
      <c r="D43" s="65"/>
      <c r="E43" s="65"/>
    </row>
    <row r="44" spans="2:8" x14ac:dyDescent="0.25">
      <c r="B44" s="69"/>
      <c r="C44" s="86"/>
      <c r="D44" s="65"/>
      <c r="E44" s="65"/>
    </row>
    <row r="45" spans="2:8" x14ac:dyDescent="0.25">
      <c r="B45" s="70"/>
      <c r="C45" s="87"/>
      <c r="D45" s="65"/>
      <c r="E45" s="65"/>
    </row>
    <row r="46" spans="2:8" x14ac:dyDescent="0.25">
      <c r="B46" s="70"/>
      <c r="C46" s="87"/>
      <c r="D46" s="65"/>
      <c r="E46" s="65"/>
    </row>
    <row r="47" spans="2:8" x14ac:dyDescent="0.25">
      <c r="B47" s="70"/>
      <c r="C47" s="87"/>
      <c r="D47" s="65"/>
      <c r="E47" s="65"/>
    </row>
    <row r="48" spans="2:8" x14ac:dyDescent="0.25">
      <c r="B48" s="70"/>
      <c r="C48" s="87"/>
      <c r="D48" s="65"/>
      <c r="E48" s="65"/>
    </row>
    <row r="49" spans="2:5" x14ac:dyDescent="0.25">
      <c r="B49" s="70"/>
      <c r="C49" s="87"/>
      <c r="D49" s="65"/>
      <c r="E49" s="65"/>
    </row>
    <row r="50" spans="2:5" x14ac:dyDescent="0.25">
      <c r="B50" s="70"/>
      <c r="C50" s="87"/>
      <c r="D50" s="65"/>
      <c r="E50" s="65"/>
    </row>
    <row r="51" spans="2:5" x14ac:dyDescent="0.25">
      <c r="B51" s="70"/>
      <c r="C51" s="87"/>
      <c r="D51" s="65"/>
      <c r="E51" s="65"/>
    </row>
    <row r="52" spans="2:5" x14ac:dyDescent="0.25">
      <c r="B52" s="70"/>
      <c r="C52" s="87"/>
      <c r="D52" s="65"/>
      <c r="E52" s="65"/>
    </row>
    <row r="53" spans="2:5" x14ac:dyDescent="0.25">
      <c r="B53" s="70"/>
      <c r="C53" s="87"/>
      <c r="D53" s="65"/>
      <c r="E53" s="65"/>
    </row>
    <row r="54" spans="2:5" x14ac:dyDescent="0.25">
      <c r="B54" s="70"/>
      <c r="C54" s="87"/>
      <c r="D54" s="65"/>
      <c r="E54" s="65"/>
    </row>
    <row r="55" spans="2:5" x14ac:dyDescent="0.25">
      <c r="B55" s="70"/>
      <c r="C55" s="87"/>
      <c r="D55" s="65"/>
      <c r="E55" s="65"/>
    </row>
    <row r="56" spans="2:5" x14ac:dyDescent="0.25">
      <c r="B56" s="69"/>
      <c r="C56" s="86"/>
      <c r="D56" s="65"/>
      <c r="E56" s="65"/>
    </row>
    <row r="57" spans="2:5" x14ac:dyDescent="0.25">
      <c r="B57" s="69"/>
      <c r="C57" s="86"/>
      <c r="D57" s="65"/>
      <c r="E57" s="65"/>
    </row>
    <row r="58" spans="2:5" x14ac:dyDescent="0.25">
      <c r="B58" s="69"/>
      <c r="C58" s="86"/>
      <c r="D58" s="65"/>
      <c r="E58" s="65"/>
    </row>
    <row r="59" spans="2:5" x14ac:dyDescent="0.25">
      <c r="B59" s="69"/>
      <c r="C59" s="86"/>
      <c r="D59" s="65"/>
      <c r="E59" s="65"/>
    </row>
    <row r="60" spans="2:5" x14ac:dyDescent="0.25">
      <c r="B60" s="69"/>
      <c r="C60" s="86"/>
      <c r="D60" s="65"/>
      <c r="E60" s="65"/>
    </row>
    <row r="61" spans="2:5" x14ac:dyDescent="0.25">
      <c r="B61" s="69"/>
      <c r="C61" s="86"/>
      <c r="D61" s="65"/>
      <c r="E61" s="65"/>
    </row>
    <row r="62" spans="2:5" x14ac:dyDescent="0.25">
      <c r="B62" s="69"/>
      <c r="C62" s="86"/>
      <c r="D62" s="65"/>
      <c r="E62" s="65"/>
    </row>
    <row r="63" spans="2:5" x14ac:dyDescent="0.25">
      <c r="B63" s="69"/>
      <c r="C63" s="86"/>
      <c r="D63" s="65"/>
      <c r="E63" s="65"/>
    </row>
    <row r="64" spans="2:5" x14ac:dyDescent="0.25">
      <c r="B64" s="69"/>
      <c r="C64" s="86"/>
      <c r="D64" s="65"/>
      <c r="E64" s="65"/>
    </row>
    <row r="65" spans="2:5" x14ac:dyDescent="0.25">
      <c r="B65" s="69"/>
      <c r="C65" s="86"/>
      <c r="D65" s="65"/>
      <c r="E65" s="65"/>
    </row>
    <row r="66" spans="2:5" x14ac:dyDescent="0.25">
      <c r="B66" s="69"/>
      <c r="C66" s="86"/>
      <c r="D66" s="65"/>
      <c r="E66" s="65"/>
    </row>
    <row r="67" spans="2:5" x14ac:dyDescent="0.25">
      <c r="B67" s="69"/>
      <c r="C67" s="86"/>
      <c r="D67" s="65"/>
      <c r="E67" s="65"/>
    </row>
    <row r="68" spans="2:5" x14ac:dyDescent="0.25">
      <c r="B68" s="69"/>
      <c r="C68" s="86"/>
      <c r="D68" s="65"/>
      <c r="E68" s="65"/>
    </row>
    <row r="69" spans="2:5" x14ac:dyDescent="0.25">
      <c r="B69" s="69"/>
      <c r="C69" s="86"/>
      <c r="D69" s="65"/>
      <c r="E69" s="65"/>
    </row>
    <row r="70" spans="2:5" x14ac:dyDescent="0.25">
      <c r="B70" s="69"/>
      <c r="C70" s="86"/>
      <c r="D70" s="65"/>
      <c r="E70" s="65"/>
    </row>
  </sheetData>
  <mergeCells count="8">
    <mergeCell ref="P6:V7"/>
    <mergeCell ref="A2:D2"/>
    <mergeCell ref="J11:M13"/>
    <mergeCell ref="A9:A10"/>
    <mergeCell ref="B9:B10"/>
    <mergeCell ref="A6:E7"/>
    <mergeCell ref="G6:M7"/>
    <mergeCell ref="C9:C10"/>
  </mergeCells>
  <hyperlinks>
    <hyperlink ref="P10" r:id="rId1" xr:uid="{9D6C650B-0AB9-454E-A817-ED89ED529BC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00" r:id="rId5" name="Check Box 4">
              <controlPr defaultSize="0" autoFill="0" autoLine="0" autoPict="0">
                <anchor moveWithCells="1">
                  <from>
                    <xdr:col>15</xdr:col>
                    <xdr:colOff>0</xdr:colOff>
                    <xdr:row>7</xdr:row>
                    <xdr:rowOff>180975</xdr:rowOff>
                  </from>
                  <to>
                    <xdr:col>24</xdr:col>
                    <xdr:colOff>0</xdr:colOff>
                    <xdr:row>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4A6D2-84A3-4297-A3C9-DFD769DE1C38}">
  <sheetPr codeName="Sheet12"/>
  <dimension ref="A2:F4"/>
  <sheetViews>
    <sheetView workbookViewId="0">
      <selection activeCell="A5" sqref="A5"/>
    </sheetView>
  </sheetViews>
  <sheetFormatPr defaultRowHeight="15" x14ac:dyDescent="0.25"/>
  <cols>
    <col min="1" max="1" width="22.140625" style="4" customWidth="1"/>
    <col min="2" max="2" width="9.140625" style="2"/>
    <col min="3" max="3" width="10.85546875" style="2" customWidth="1"/>
    <col min="4" max="4" width="9.140625" style="143"/>
    <col min="5" max="5" width="9.140625" style="144"/>
    <col min="6" max="6" width="9.140625" style="2"/>
    <col min="7" max="16384" width="9.140625" style="144"/>
  </cols>
  <sheetData>
    <row r="2" spans="1:6" s="136" customFormat="1" x14ac:dyDescent="0.25">
      <c r="A2" s="133" t="s">
        <v>13</v>
      </c>
      <c r="B2" s="134" t="s">
        <v>125</v>
      </c>
      <c r="C2" s="134" t="s">
        <v>179</v>
      </c>
      <c r="D2" s="135"/>
      <c r="F2" s="137"/>
    </row>
    <row r="3" spans="1:6" s="136" customFormat="1" x14ac:dyDescent="0.25">
      <c r="A3" s="133"/>
      <c r="B3" s="134"/>
      <c r="C3" s="134"/>
      <c r="D3" s="135" t="s">
        <v>180</v>
      </c>
      <c r="F3" s="137"/>
    </row>
    <row r="4" spans="1:6" s="141" customFormat="1" x14ac:dyDescent="0.25">
      <c r="A4" s="138"/>
      <c r="B4" s="139"/>
      <c r="C4" s="139"/>
      <c r="D4" s="140"/>
      <c r="E4" s="141" t="s">
        <v>1</v>
      </c>
      <c r="F4" s="142" t="s">
        <v>181</v>
      </c>
    </row>
  </sheetData>
  <mergeCells count="3">
    <mergeCell ref="A2:A4"/>
    <mergeCell ref="B2:B4"/>
    <mergeCell ref="C2:C4"/>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C15A4-C7C6-41FF-AF59-55BE9D073B32}">
  <sheetPr codeName="Sheet2"/>
  <dimension ref="A1:N24"/>
  <sheetViews>
    <sheetView workbookViewId="0">
      <selection activeCell="B5" sqref="B5"/>
    </sheetView>
  </sheetViews>
  <sheetFormatPr defaultColWidth="8.85546875" defaultRowHeight="15" x14ac:dyDescent="0.25"/>
  <cols>
    <col min="1" max="1" width="34.28515625" customWidth="1"/>
    <col min="2" max="2" width="11.7109375" customWidth="1"/>
    <col min="4" max="4" width="27" customWidth="1"/>
    <col min="8" max="8" width="8.7109375" customWidth="1"/>
    <col min="14" max="14" width="8.28515625" customWidth="1"/>
  </cols>
  <sheetData>
    <row r="1" spans="1:14" ht="15.75" thickBot="1" x14ac:dyDescent="0.3">
      <c r="A1" s="1" t="s">
        <v>50</v>
      </c>
    </row>
    <row r="2" spans="1:14" x14ac:dyDescent="0.25">
      <c r="A2" t="s">
        <v>131</v>
      </c>
      <c r="I2" s="47" t="s">
        <v>53</v>
      </c>
      <c r="J2" s="48"/>
      <c r="K2" s="48"/>
      <c r="L2" s="48"/>
      <c r="M2" s="48"/>
      <c r="N2" s="49"/>
    </row>
    <row r="3" spans="1:14" x14ac:dyDescent="0.25">
      <c r="I3" s="50"/>
      <c r="J3" s="51"/>
      <c r="K3" s="51"/>
      <c r="L3" s="51"/>
      <c r="M3" s="51"/>
      <c r="N3" s="52"/>
    </row>
    <row r="4" spans="1:14" x14ac:dyDescent="0.25">
      <c r="A4" t="s">
        <v>51</v>
      </c>
      <c r="B4" s="46" t="s">
        <v>182</v>
      </c>
      <c r="I4" s="50"/>
      <c r="J4" s="51"/>
      <c r="K4" s="51"/>
      <c r="L4" s="51"/>
      <c r="M4" s="51"/>
      <c r="N4" s="52"/>
    </row>
    <row r="5" spans="1:14" x14ac:dyDescent="0.25">
      <c r="A5" t="s">
        <v>52</v>
      </c>
      <c r="B5" t="s">
        <v>178</v>
      </c>
      <c r="I5" s="50"/>
      <c r="J5" s="51"/>
      <c r="K5" s="51"/>
      <c r="L5" s="51"/>
      <c r="M5" s="51"/>
      <c r="N5" s="52"/>
    </row>
    <row r="6" spans="1:14" x14ac:dyDescent="0.25">
      <c r="A6" t="s">
        <v>145</v>
      </c>
      <c r="B6" t="s">
        <v>146</v>
      </c>
      <c r="I6" s="50"/>
      <c r="J6" s="51"/>
      <c r="K6" s="51"/>
      <c r="L6" s="51"/>
      <c r="M6" s="51"/>
      <c r="N6" s="52"/>
    </row>
    <row r="7" spans="1:14" x14ac:dyDescent="0.25">
      <c r="I7" s="50"/>
      <c r="J7" s="51"/>
      <c r="K7" s="51"/>
      <c r="L7" s="51"/>
      <c r="M7" s="51"/>
      <c r="N7" s="52"/>
    </row>
    <row r="8" spans="1:14" x14ac:dyDescent="0.25">
      <c r="I8" s="50"/>
      <c r="J8" s="51"/>
      <c r="K8" s="51"/>
      <c r="L8" s="51"/>
      <c r="M8" s="51"/>
      <c r="N8" s="52"/>
    </row>
    <row r="9" spans="1:14" x14ac:dyDescent="0.25">
      <c r="A9" s="1" t="s">
        <v>100</v>
      </c>
      <c r="I9" s="50"/>
      <c r="J9" s="51"/>
      <c r="K9" s="51"/>
      <c r="L9" s="51"/>
      <c r="M9" s="51"/>
      <c r="N9" s="52"/>
    </row>
    <row r="10" spans="1:14" x14ac:dyDescent="0.25">
      <c r="I10" s="50"/>
      <c r="J10" s="51"/>
      <c r="K10" s="51"/>
      <c r="L10" s="51"/>
      <c r="M10" s="51"/>
      <c r="N10" s="52"/>
    </row>
    <row r="11" spans="1:14" ht="15.75" thickBot="1" x14ac:dyDescent="0.3">
      <c r="A11" s="85" t="s">
        <v>101</v>
      </c>
      <c r="B11" s="85" t="s">
        <v>102</v>
      </c>
      <c r="C11" s="85" t="s">
        <v>103</v>
      </c>
      <c r="D11" s="85" t="s">
        <v>114</v>
      </c>
      <c r="I11" s="53"/>
      <c r="J11" s="54"/>
      <c r="K11" s="54"/>
      <c r="L11" s="54"/>
      <c r="M11" s="54"/>
      <c r="N11" s="55"/>
    </row>
    <row r="12" spans="1:14" x14ac:dyDescent="0.25">
      <c r="A12" t="s">
        <v>120</v>
      </c>
      <c r="B12" t="b">
        <v>0</v>
      </c>
      <c r="C12" t="s">
        <v>104</v>
      </c>
    </row>
    <row r="13" spans="1:14" x14ac:dyDescent="0.25">
      <c r="A13" t="s">
        <v>121</v>
      </c>
      <c r="B13" t="b">
        <v>0</v>
      </c>
      <c r="C13" t="s">
        <v>104</v>
      </c>
    </row>
    <row r="14" spans="1:14" x14ac:dyDescent="0.25">
      <c r="A14" t="s">
        <v>127</v>
      </c>
      <c r="B14" t="b">
        <v>0</v>
      </c>
      <c r="C14" t="s">
        <v>104</v>
      </c>
    </row>
    <row r="15" spans="1:14" x14ac:dyDescent="0.25">
      <c r="A15" t="s">
        <v>122</v>
      </c>
      <c r="B15" t="b">
        <f>COUNTA(Setup!E:E)=2</f>
        <v>0</v>
      </c>
      <c r="C15" t="s">
        <v>104</v>
      </c>
      <c r="D15" t="s">
        <v>115</v>
      </c>
    </row>
    <row r="16" spans="1:14" x14ac:dyDescent="0.25">
      <c r="A16" t="s">
        <v>158</v>
      </c>
      <c r="B16" t="b">
        <v>1</v>
      </c>
      <c r="C16" t="s">
        <v>159</v>
      </c>
    </row>
    <row r="17" spans="1:3" x14ac:dyDescent="0.25">
      <c r="A17" t="s">
        <v>160</v>
      </c>
      <c r="B17" t="b">
        <v>0</v>
      </c>
      <c r="C17" t="s">
        <v>164</v>
      </c>
    </row>
    <row r="18" spans="1:3" x14ac:dyDescent="0.25">
      <c r="A18" t="s">
        <v>161</v>
      </c>
      <c r="B18" t="b">
        <v>0</v>
      </c>
      <c r="C18" t="s">
        <v>164</v>
      </c>
    </row>
    <row r="19" spans="1:3" x14ac:dyDescent="0.25">
      <c r="A19" t="s">
        <v>167</v>
      </c>
      <c r="B19" t="b">
        <v>0</v>
      </c>
      <c r="C19" t="s">
        <v>164</v>
      </c>
    </row>
    <row r="20" spans="1:3" x14ac:dyDescent="0.25">
      <c r="A20" t="s">
        <v>168</v>
      </c>
      <c r="B20" t="b">
        <v>0</v>
      </c>
      <c r="C20" t="s">
        <v>164</v>
      </c>
    </row>
    <row r="21" spans="1:3" x14ac:dyDescent="0.25">
      <c r="A21" t="s">
        <v>162</v>
      </c>
      <c r="B21" t="b">
        <v>0</v>
      </c>
      <c r="C21" t="s">
        <v>165</v>
      </c>
    </row>
    <row r="22" spans="1:3" x14ac:dyDescent="0.25">
      <c r="A22" t="s">
        <v>163</v>
      </c>
      <c r="B22" t="b">
        <v>0</v>
      </c>
      <c r="C22" t="s">
        <v>165</v>
      </c>
    </row>
    <row r="23" spans="1:3" x14ac:dyDescent="0.25">
      <c r="A23" t="s">
        <v>166</v>
      </c>
      <c r="B23" t="b">
        <v>0</v>
      </c>
      <c r="C23" t="s">
        <v>165</v>
      </c>
    </row>
    <row r="24" spans="1:3" x14ac:dyDescent="0.25">
      <c r="A24" t="s">
        <v>169</v>
      </c>
      <c r="B24" t="b">
        <v>0</v>
      </c>
      <c r="C24" t="s">
        <v>165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moveExistingPupilInsightSheet">
                <anchor moveWithCells="1" sizeWithCells="1">
                  <from>
                    <xdr:col>8</xdr:col>
                    <xdr:colOff>114300</xdr:colOff>
                    <xdr:row>5</xdr:row>
                    <xdr:rowOff>38100</xdr:rowOff>
                  </from>
                  <to>
                    <xdr:col>10</xdr:col>
                    <xdr:colOff>571500</xdr:colOff>
                    <xdr:row>7</xdr:row>
                    <xdr:rowOff>66675</xdr:rowOff>
                  </to>
                </anchor>
              </controlPr>
            </control>
          </mc:Choice>
        </mc:AlternateContent>
        <mc:AlternateContent xmlns:mc="http://schemas.openxmlformats.org/markup-compatibility/2006">
          <mc:Choice Requires="x14">
            <control shapeId="14338" r:id="rId5" name="Button 2">
              <controlPr defaultSize="0" print="0" autoFill="0" autoPict="0" macro="[0]!RemoveExistingDataEntrySheet">
                <anchor moveWithCells="1" sizeWithCells="1">
                  <from>
                    <xdr:col>8</xdr:col>
                    <xdr:colOff>104775</xdr:colOff>
                    <xdr:row>2</xdr:row>
                    <xdr:rowOff>66675</xdr:rowOff>
                  </from>
                  <to>
                    <xdr:col>10</xdr:col>
                    <xdr:colOff>561975</xdr:colOff>
                    <xdr:row>4</xdr:row>
                    <xdr:rowOff>76200</xdr:rowOff>
                  </to>
                </anchor>
              </controlPr>
            </control>
          </mc:Choice>
        </mc:AlternateContent>
        <mc:AlternateContent xmlns:mc="http://schemas.openxmlformats.org/markup-compatibility/2006">
          <mc:Choice Requires="x14">
            <control shapeId="14343" r:id="rId6" name="Button 7">
              <controlPr defaultSize="0" print="0" autoFill="0" autoPict="0" macro="[0]!CIS_Remove_Existing_Sheets">
                <anchor moveWithCells="1" sizeWithCells="1">
                  <from>
                    <xdr:col>8</xdr:col>
                    <xdr:colOff>114300</xdr:colOff>
                    <xdr:row>7</xdr:row>
                    <xdr:rowOff>180975</xdr:rowOff>
                  </from>
                  <to>
                    <xdr:col>10</xdr:col>
                    <xdr:colOff>571500</xdr:colOff>
                    <xdr:row>10</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90AB5-249C-43EF-BB06-CEB703AF4253}">
  <sheetPr codeName="Sheet14"/>
  <dimension ref="A1:R44"/>
  <sheetViews>
    <sheetView workbookViewId="0"/>
  </sheetViews>
  <sheetFormatPr defaultColWidth="9.140625" defaultRowHeight="15" x14ac:dyDescent="0.25"/>
  <cols>
    <col min="1" max="1" width="14.85546875" style="2" customWidth="1"/>
    <col min="2" max="2" width="11.28515625" style="2" customWidth="1"/>
    <col min="3" max="3" width="17.28515625" style="2" customWidth="1"/>
    <col min="4" max="4" width="19.7109375" style="2" customWidth="1"/>
    <col min="5" max="16384" width="9.140625" style="2"/>
  </cols>
  <sheetData>
    <row r="1" spans="1:18" ht="15.75" x14ac:dyDescent="0.25">
      <c r="A1" s="89" t="s">
        <v>143</v>
      </c>
    </row>
    <row r="2" spans="1:18" x14ac:dyDescent="0.25">
      <c r="A2" s="90" t="s">
        <v>144</v>
      </c>
    </row>
    <row r="3" spans="1:18" x14ac:dyDescent="0.25">
      <c r="A3" s="90"/>
    </row>
    <row r="4" spans="1:18" x14ac:dyDescent="0.25">
      <c r="A4" s="90" t="s">
        <v>156</v>
      </c>
    </row>
    <row r="5" spans="1:18" x14ac:dyDescent="0.25">
      <c r="A5" s="126" t="s">
        <v>153</v>
      </c>
      <c r="B5" t="s">
        <v>151</v>
      </c>
      <c r="C5"/>
      <c r="D5"/>
      <c r="E5"/>
      <c r="F5"/>
      <c r="G5"/>
      <c r="H5"/>
      <c r="I5"/>
      <c r="J5" t="s">
        <v>149</v>
      </c>
      <c r="K5"/>
      <c r="L5"/>
      <c r="M5"/>
    </row>
    <row r="6" spans="1:18" ht="15" customHeight="1" x14ac:dyDescent="0.25">
      <c r="A6" s="126"/>
      <c r="B6" s="126" t="s">
        <v>123</v>
      </c>
      <c r="C6" s="126"/>
      <c r="D6" s="126" t="s">
        <v>124</v>
      </c>
      <c r="E6" s="126"/>
      <c r="F6" s="126" t="s">
        <v>134</v>
      </c>
      <c r="G6" s="126"/>
      <c r="H6" s="126" t="s">
        <v>150</v>
      </c>
      <c r="I6" s="126"/>
      <c r="J6" s="126"/>
      <c r="K6" s="126"/>
      <c r="L6" s="126"/>
      <c r="M6" s="126"/>
    </row>
    <row r="7" spans="1:18" ht="15" customHeight="1" x14ac:dyDescent="0.25">
      <c r="A7" s="126"/>
      <c r="B7" t="s">
        <v>1</v>
      </c>
      <c r="C7" t="s">
        <v>155</v>
      </c>
      <c r="D7" t="s">
        <v>1</v>
      </c>
      <c r="E7" t="s">
        <v>155</v>
      </c>
      <c r="F7" t="s">
        <v>1</v>
      </c>
      <c r="G7" t="s">
        <v>155</v>
      </c>
      <c r="H7" t="s">
        <v>1</v>
      </c>
      <c r="I7" t="s">
        <v>155</v>
      </c>
      <c r="J7"/>
      <c r="K7"/>
      <c r="L7"/>
      <c r="M7"/>
    </row>
    <row r="8" spans="1:18" ht="15" customHeight="1" x14ac:dyDescent="0.25">
      <c r="A8"/>
      <c r="B8"/>
      <c r="C8"/>
      <c r="D8"/>
      <c r="E8"/>
      <c r="F8"/>
      <c r="G8"/>
      <c r="H8"/>
      <c r="I8"/>
      <c r="J8"/>
      <c r="K8"/>
      <c r="L8"/>
      <c r="M8"/>
    </row>
    <row r="9" spans="1:18" x14ac:dyDescent="0.25">
      <c r="A9" s="90"/>
    </row>
    <row r="10" spans="1:18" x14ac:dyDescent="0.25">
      <c r="A10" s="90" t="s">
        <v>157</v>
      </c>
    </row>
    <row r="11" spans="1:18" x14ac:dyDescent="0.25">
      <c r="A11" s="125" t="s">
        <v>137</v>
      </c>
      <c r="B11" s="125" t="s">
        <v>138</v>
      </c>
      <c r="C11" s="125" t="s">
        <v>140</v>
      </c>
      <c r="D11" s="125"/>
      <c r="E11" s="4" t="s">
        <v>139</v>
      </c>
    </row>
    <row r="12" spans="1:18" ht="15" customHeight="1" x14ac:dyDescent="0.25">
      <c r="A12" s="125"/>
      <c r="B12" s="125"/>
      <c r="C12" s="125"/>
      <c r="D12" s="125"/>
      <c r="E12" s="116" t="s">
        <v>154</v>
      </c>
      <c r="F12" s="116"/>
      <c r="G12" s="116"/>
      <c r="H12" s="116"/>
      <c r="I12" s="116"/>
      <c r="J12" s="116"/>
      <c r="K12" s="116"/>
      <c r="L12" s="116"/>
      <c r="M12" s="116"/>
      <c r="N12" s="116"/>
      <c r="O12" s="4" t="s">
        <v>136</v>
      </c>
    </row>
    <row r="13" spans="1:18" x14ac:dyDescent="0.25">
      <c r="A13" s="125"/>
      <c r="B13" s="125"/>
      <c r="C13" s="2" t="s">
        <v>141</v>
      </c>
      <c r="D13" s="2" t="s">
        <v>142</v>
      </c>
      <c r="E13" s="2" t="s">
        <v>133</v>
      </c>
      <c r="F13" s="2" t="s">
        <v>1</v>
      </c>
      <c r="G13" s="2" t="s">
        <v>123</v>
      </c>
      <c r="H13" s="2" t="s">
        <v>1</v>
      </c>
      <c r="I13" s="2" t="s">
        <v>124</v>
      </c>
      <c r="J13" s="2" t="s">
        <v>1</v>
      </c>
      <c r="K13" s="2" t="s">
        <v>134</v>
      </c>
      <c r="L13" s="2" t="s">
        <v>1</v>
      </c>
      <c r="M13" s="2" t="s">
        <v>135</v>
      </c>
      <c r="N13" s="2" t="s">
        <v>1</v>
      </c>
    </row>
    <row r="14" spans="1:18" x14ac:dyDescent="0.25">
      <c r="F14" s="6"/>
      <c r="H14" s="6"/>
      <c r="J14" s="6"/>
      <c r="L14" s="6"/>
      <c r="N14" s="6"/>
      <c r="P14" s="6"/>
      <c r="R14" s="6"/>
    </row>
    <row r="15" spans="1:18" x14ac:dyDescent="0.25">
      <c r="F15" s="6"/>
      <c r="H15" s="6"/>
      <c r="J15" s="6"/>
      <c r="L15" s="6"/>
      <c r="N15" s="6"/>
      <c r="P15" s="6"/>
      <c r="R15" s="6"/>
    </row>
    <row r="16" spans="1:18" x14ac:dyDescent="0.25">
      <c r="F16" s="6"/>
      <c r="H16" s="6"/>
      <c r="J16" s="6"/>
      <c r="L16" s="6"/>
      <c r="N16" s="6"/>
      <c r="P16" s="6"/>
      <c r="R16" s="6"/>
    </row>
    <row r="17" spans="1:18" x14ac:dyDescent="0.25">
      <c r="F17" s="6"/>
      <c r="H17" s="6"/>
      <c r="J17" s="6"/>
      <c r="L17" s="6"/>
      <c r="N17" s="6"/>
      <c r="P17" s="6"/>
      <c r="R17" s="6"/>
    </row>
    <row r="18" spans="1:18" x14ac:dyDescent="0.25">
      <c r="F18" s="6"/>
      <c r="H18" s="6"/>
      <c r="J18" s="6"/>
      <c r="L18" s="6"/>
      <c r="N18" s="6"/>
      <c r="P18" s="6"/>
      <c r="R18" s="6"/>
    </row>
    <row r="19" spans="1:18" x14ac:dyDescent="0.25">
      <c r="F19" s="6"/>
      <c r="H19" s="6"/>
      <c r="J19" s="6"/>
      <c r="L19" s="6"/>
      <c r="N19" s="6"/>
      <c r="P19" s="6"/>
      <c r="R19" s="6"/>
    </row>
    <row r="20" spans="1:18" x14ac:dyDescent="0.25">
      <c r="F20" s="6"/>
      <c r="H20" s="6"/>
      <c r="J20" s="6"/>
      <c r="L20" s="6"/>
      <c r="N20" s="6"/>
      <c r="P20" s="6"/>
      <c r="R20" s="6"/>
    </row>
    <row r="21" spans="1:18" x14ac:dyDescent="0.25">
      <c r="F21" s="6"/>
      <c r="H21" s="6"/>
      <c r="J21" s="6"/>
      <c r="L21" s="6"/>
      <c r="N21" s="6"/>
      <c r="P21" s="6"/>
      <c r="R21" s="6"/>
    </row>
    <row r="22" spans="1:18" x14ac:dyDescent="0.25">
      <c r="F22" s="6"/>
      <c r="H22" s="6"/>
      <c r="J22" s="6"/>
      <c r="L22" s="6"/>
      <c r="N22" s="6"/>
      <c r="P22" s="6"/>
      <c r="R22" s="6"/>
    </row>
    <row r="23" spans="1:18" x14ac:dyDescent="0.25">
      <c r="F23" s="6"/>
      <c r="H23" s="6"/>
      <c r="J23" s="6"/>
      <c r="L23" s="6"/>
      <c r="N23" s="6"/>
      <c r="P23" s="6"/>
      <c r="R23" s="6"/>
    </row>
    <row r="24" spans="1:18" x14ac:dyDescent="0.25">
      <c r="F24" s="6"/>
      <c r="H24" s="6"/>
      <c r="J24" s="6"/>
      <c r="L24" s="6"/>
      <c r="N24" s="6"/>
      <c r="P24" s="6"/>
      <c r="R24" s="6"/>
    </row>
    <row r="27" spans="1:18" x14ac:dyDescent="0.25">
      <c r="A27" s="91"/>
    </row>
    <row r="29" spans="1:18" x14ac:dyDescent="0.25">
      <c r="A29" s="4"/>
    </row>
    <row r="30" spans="1:18" x14ac:dyDescent="0.25">
      <c r="B30" s="4"/>
    </row>
    <row r="31" spans="1:18" x14ac:dyDescent="0.25">
      <c r="B31" s="63"/>
      <c r="C31" s="63"/>
      <c r="D31" s="63"/>
      <c r="E31" s="63"/>
      <c r="F31" s="63"/>
      <c r="G31" s="63"/>
      <c r="H31" s="63"/>
      <c r="I31" s="63"/>
      <c r="J31" s="63"/>
      <c r="K31" s="63"/>
      <c r="L31" s="4"/>
    </row>
    <row r="33" spans="1:15" x14ac:dyDescent="0.25">
      <c r="C33" s="6"/>
      <c r="E33" s="6"/>
      <c r="G33" s="6"/>
      <c r="I33" s="6"/>
      <c r="K33" s="6"/>
      <c r="M33" s="6"/>
      <c r="O33" s="6"/>
    </row>
    <row r="34" spans="1:15" x14ac:dyDescent="0.25">
      <c r="C34" s="6"/>
      <c r="E34" s="6"/>
      <c r="G34" s="6"/>
      <c r="I34" s="6"/>
      <c r="K34" s="6"/>
      <c r="M34" s="6"/>
      <c r="O34" s="6"/>
    </row>
    <row r="35" spans="1:15" x14ac:dyDescent="0.25">
      <c r="C35" s="6"/>
      <c r="E35" s="6"/>
      <c r="G35" s="6"/>
      <c r="I35" s="6"/>
      <c r="K35" s="6"/>
      <c r="M35" s="6"/>
      <c r="O35" s="6"/>
    </row>
    <row r="36" spans="1:15" x14ac:dyDescent="0.25">
      <c r="C36" s="6"/>
      <c r="E36" s="6"/>
      <c r="G36" s="6"/>
      <c r="I36" s="6"/>
      <c r="K36" s="6"/>
      <c r="M36" s="6"/>
      <c r="O36" s="6"/>
    </row>
    <row r="38" spans="1:15" x14ac:dyDescent="0.25">
      <c r="A38" s="4"/>
    </row>
    <row r="39" spans="1:15" x14ac:dyDescent="0.25">
      <c r="B39" s="4"/>
    </row>
    <row r="40" spans="1:15" x14ac:dyDescent="0.25">
      <c r="B40" s="63"/>
      <c r="C40" s="63"/>
      <c r="D40" s="63"/>
      <c r="E40" s="63"/>
      <c r="F40" s="63"/>
      <c r="G40" s="63"/>
      <c r="H40" s="63"/>
      <c r="I40" s="63"/>
      <c r="J40" s="63"/>
      <c r="K40" s="63"/>
      <c r="L40" s="4"/>
    </row>
    <row r="42" spans="1:15" x14ac:dyDescent="0.25">
      <c r="C42" s="6"/>
      <c r="E42" s="6"/>
      <c r="G42" s="6"/>
      <c r="I42" s="6"/>
      <c r="K42" s="6"/>
      <c r="M42" s="6"/>
      <c r="O42" s="6"/>
    </row>
    <row r="43" spans="1:15" x14ac:dyDescent="0.25">
      <c r="C43" s="6"/>
      <c r="E43" s="6"/>
      <c r="G43" s="6"/>
      <c r="I43" s="6"/>
      <c r="K43" s="6"/>
      <c r="M43" s="6"/>
      <c r="O43" s="6"/>
    </row>
    <row r="44" spans="1:15" x14ac:dyDescent="0.25">
      <c r="C44" s="6"/>
      <c r="E44" s="6"/>
      <c r="G44" s="6"/>
      <c r="I44" s="6"/>
      <c r="K44" s="6"/>
      <c r="M44" s="6"/>
      <c r="O44" s="6"/>
    </row>
  </sheetData>
  <mergeCells count="11">
    <mergeCell ref="A11:A13"/>
    <mergeCell ref="B11:B13"/>
    <mergeCell ref="C11:D12"/>
    <mergeCell ref="E12:N12"/>
    <mergeCell ref="J6:K6"/>
    <mergeCell ref="L6:M6"/>
    <mergeCell ref="A5:A7"/>
    <mergeCell ref="B6:C6"/>
    <mergeCell ref="D6:E6"/>
    <mergeCell ref="F6:G6"/>
    <mergeCell ref="H6:I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3477-ADC1-495E-A5D1-00198764FC38}">
  <sheetPr codeName="Sheet16"/>
  <dimension ref="A1:O31"/>
  <sheetViews>
    <sheetView workbookViewId="0">
      <selection activeCell="A7" sqref="A7"/>
    </sheetView>
  </sheetViews>
  <sheetFormatPr defaultColWidth="9" defaultRowHeight="15" x14ac:dyDescent="0.25"/>
  <cols>
    <col min="1" max="1" width="15" style="15" customWidth="1"/>
    <col min="2" max="2" width="9.140625" style="6" customWidth="1"/>
    <col min="3" max="16384" width="9" style="6"/>
  </cols>
  <sheetData>
    <row r="1" spans="1:15" ht="28.5" x14ac:dyDescent="0.25">
      <c r="B1" s="97" t="str">
        <f>AEAS_AssessmentTitle</f>
        <v>Replace with your subject and relevant key stage (e.g. French GCSE)</v>
      </c>
    </row>
    <row r="2" spans="1:15" x14ac:dyDescent="0.25">
      <c r="B2" s="96" t="s">
        <v>132</v>
      </c>
    </row>
    <row r="7" spans="1:15" x14ac:dyDescent="0.25">
      <c r="A7" s="92" t="s">
        <v>10</v>
      </c>
      <c r="B7" s="94"/>
      <c r="C7" s="94"/>
      <c r="D7" s="94"/>
      <c r="E7" s="94"/>
      <c r="F7" s="94"/>
      <c r="G7" s="94"/>
      <c r="H7" s="94"/>
      <c r="I7" s="94"/>
      <c r="J7" s="94"/>
      <c r="K7" s="94"/>
      <c r="L7" s="94"/>
      <c r="M7" s="94"/>
      <c r="N7" s="94"/>
      <c r="O7" s="94"/>
    </row>
    <row r="8" spans="1:15" ht="18.75" x14ac:dyDescent="0.3">
      <c r="A8" s="93" t="s">
        <v>152</v>
      </c>
      <c r="B8" s="95"/>
      <c r="C8" s="95"/>
      <c r="D8" s="95"/>
      <c r="E8" s="95"/>
      <c r="F8" s="95"/>
      <c r="G8" s="95"/>
      <c r="H8" s="95"/>
      <c r="I8" s="95"/>
      <c r="J8" s="95"/>
      <c r="K8" s="95"/>
      <c r="L8" s="95"/>
      <c r="M8" s="95"/>
      <c r="N8" s="95"/>
      <c r="O8" s="95"/>
    </row>
    <row r="25" spans="1:13" s="100" customFormat="1" x14ac:dyDescent="0.25">
      <c r="A25" s="99"/>
    </row>
    <row r="26" spans="1:13" s="100" customFormat="1" x14ac:dyDescent="0.25">
      <c r="A26" s="98"/>
      <c r="B26" s="101"/>
      <c r="C26" s="101"/>
      <c r="D26" s="101"/>
      <c r="E26" s="101"/>
      <c r="F26" s="101"/>
      <c r="G26" s="101"/>
      <c r="H26" s="101"/>
      <c r="I26" s="101"/>
      <c r="J26" s="101"/>
      <c r="K26" s="101"/>
      <c r="L26" s="101"/>
      <c r="M26" s="101"/>
    </row>
    <row r="27" spans="1:13" s="100" customFormat="1" ht="19.5" customHeight="1" x14ac:dyDescent="0.25">
      <c r="A27" s="98"/>
      <c r="B27" s="98"/>
      <c r="C27" s="98"/>
      <c r="D27" s="98"/>
      <c r="E27" s="98"/>
      <c r="F27" s="98"/>
      <c r="G27" s="98"/>
      <c r="H27" s="98"/>
      <c r="I27" s="98"/>
      <c r="J27" s="98"/>
      <c r="K27" s="98"/>
      <c r="L27" s="98"/>
      <c r="M27" s="98"/>
    </row>
    <row r="28" spans="1:13" s="100" customFormat="1" x14ac:dyDescent="0.25">
      <c r="A28" s="98"/>
      <c r="B28" s="102"/>
      <c r="C28" s="102"/>
      <c r="D28" s="102"/>
      <c r="E28" s="102"/>
      <c r="F28" s="102"/>
      <c r="G28" s="102"/>
      <c r="H28" s="102"/>
      <c r="I28" s="102"/>
      <c r="J28" s="102"/>
      <c r="K28" s="102"/>
      <c r="L28" s="102"/>
      <c r="M28" s="102"/>
    </row>
    <row r="29" spans="1:13" s="100" customFormat="1" x14ac:dyDescent="0.25"/>
    <row r="30" spans="1:13" s="100" customFormat="1" x14ac:dyDescent="0.25">
      <c r="A30" s="99"/>
    </row>
    <row r="31" spans="1:13" s="100" customFormat="1" x14ac:dyDescent="0.25">
      <c r="A31" s="99"/>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8475D-E91C-437C-9229-E6E5DDC6AE8D}">
  <sheetPr codeName="Sheet7"/>
  <dimension ref="A2:AF15"/>
  <sheetViews>
    <sheetView workbookViewId="0"/>
  </sheetViews>
  <sheetFormatPr defaultColWidth="8.85546875" defaultRowHeight="15" x14ac:dyDescent="0.25"/>
  <cols>
    <col min="1" max="1" width="20.85546875" style="2" customWidth="1"/>
    <col min="2" max="2" width="9.28515625" style="2" customWidth="1"/>
    <col min="3" max="3" width="9.7109375" style="2" customWidth="1"/>
    <col min="4" max="16384" width="8.85546875" style="2"/>
  </cols>
  <sheetData>
    <row r="2" spans="1:32" s="36" customFormat="1" x14ac:dyDescent="0.25">
      <c r="A2" s="129" t="s">
        <v>13</v>
      </c>
      <c r="B2" s="127" t="s">
        <v>125</v>
      </c>
      <c r="C2" s="127" t="s">
        <v>126</v>
      </c>
      <c r="D2" s="38" t="s">
        <v>98</v>
      </c>
    </row>
    <row r="3" spans="1:32" s="36" customFormat="1" x14ac:dyDescent="0.25">
      <c r="A3" s="129"/>
      <c r="B3" s="127"/>
      <c r="C3" s="127"/>
    </row>
    <row r="4" spans="1:32" s="37" customFormat="1" x14ac:dyDescent="0.25">
      <c r="A4" s="130"/>
      <c r="B4" s="128"/>
      <c r="C4" s="128"/>
    </row>
    <row r="5" spans="1:32" x14ac:dyDescent="0.25">
      <c r="D5" s="3"/>
      <c r="E5" s="3"/>
      <c r="F5" s="3"/>
      <c r="G5" s="3"/>
      <c r="H5" s="3"/>
      <c r="I5" s="3"/>
      <c r="J5" s="3"/>
      <c r="K5" s="3"/>
      <c r="L5" s="3"/>
      <c r="M5" s="3"/>
      <c r="N5" s="3"/>
      <c r="O5" s="3"/>
      <c r="P5" s="3"/>
      <c r="Q5" s="3"/>
      <c r="R5" s="3"/>
      <c r="S5" s="3"/>
      <c r="T5" s="3"/>
      <c r="U5" s="3"/>
      <c r="V5" s="3"/>
      <c r="W5" s="3"/>
      <c r="X5" s="3"/>
      <c r="Y5" s="3"/>
      <c r="Z5" s="3"/>
      <c r="AA5" s="3"/>
      <c r="AB5" s="3"/>
      <c r="AC5" s="3"/>
      <c r="AD5" s="3"/>
      <c r="AF5" s="6"/>
    </row>
    <row r="6" spans="1:32" x14ac:dyDescent="0.25">
      <c r="AF6" s="6"/>
    </row>
    <row r="7" spans="1:32" x14ac:dyDescent="0.25">
      <c r="AF7" s="6"/>
    </row>
    <row r="8" spans="1:32" x14ac:dyDescent="0.25">
      <c r="AF8" s="6"/>
    </row>
    <row r="9" spans="1:32" x14ac:dyDescent="0.25">
      <c r="AF9" s="6"/>
    </row>
    <row r="10" spans="1:32" x14ac:dyDescent="0.25">
      <c r="AF10" s="6"/>
    </row>
    <row r="11" spans="1:32" x14ac:dyDescent="0.25">
      <c r="AF11" s="6"/>
    </row>
    <row r="12" spans="1:32" x14ac:dyDescent="0.25">
      <c r="AF12" s="6"/>
    </row>
    <row r="13" spans="1:32" x14ac:dyDescent="0.25">
      <c r="D13" s="3"/>
      <c r="E13" s="3"/>
      <c r="F13" s="3"/>
      <c r="G13" s="3"/>
      <c r="H13" s="3"/>
      <c r="I13" s="3"/>
      <c r="J13" s="3"/>
      <c r="K13" s="3"/>
      <c r="L13" s="3"/>
      <c r="M13" s="3"/>
      <c r="N13" s="3"/>
      <c r="O13" s="3"/>
      <c r="P13" s="3"/>
      <c r="Q13" s="3"/>
      <c r="R13" s="3"/>
      <c r="S13" s="3"/>
      <c r="T13" s="3"/>
      <c r="U13" s="3"/>
      <c r="V13" s="3"/>
      <c r="W13" s="3"/>
      <c r="X13" s="3"/>
      <c r="Y13" s="3"/>
      <c r="Z13" s="3"/>
      <c r="AA13" s="3"/>
      <c r="AB13" s="3"/>
      <c r="AC13" s="3"/>
      <c r="AD13" s="3"/>
      <c r="AF13" s="6"/>
    </row>
    <row r="14" spans="1:32" x14ac:dyDescent="0.25">
      <c r="AF14" s="6"/>
    </row>
    <row r="15" spans="1:32" x14ac:dyDescent="0.25">
      <c r="D15" s="3"/>
      <c r="E15" s="3"/>
      <c r="F15" s="3"/>
      <c r="G15" s="3"/>
      <c r="H15" s="3"/>
      <c r="I15" s="3"/>
      <c r="J15" s="3"/>
      <c r="K15" s="3"/>
      <c r="L15" s="3"/>
      <c r="M15" s="3"/>
      <c r="N15" s="3"/>
      <c r="O15" s="3"/>
      <c r="P15" s="3"/>
      <c r="Q15" s="3"/>
      <c r="R15" s="3"/>
      <c r="S15" s="3"/>
      <c r="T15" s="3"/>
      <c r="U15" s="3"/>
      <c r="V15" s="3"/>
      <c r="W15" s="3"/>
      <c r="X15" s="3"/>
      <c r="Y15" s="3"/>
      <c r="Z15" s="3"/>
      <c r="AA15" s="3"/>
      <c r="AB15" s="3"/>
      <c r="AC15" s="3"/>
      <c r="AD15" s="3"/>
      <c r="AF15" s="6"/>
    </row>
  </sheetData>
  <mergeCells count="3">
    <mergeCell ref="B2:B4"/>
    <mergeCell ref="C2:C4"/>
    <mergeCell ref="A2:A4"/>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C6D59-BAE4-4FB6-A90A-CAA3B29AA574}">
  <sheetPr codeName="Sheet6">
    <pageSetUpPr fitToPage="1"/>
  </sheetPr>
  <dimension ref="A1:AE39"/>
  <sheetViews>
    <sheetView topLeftCell="B15" workbookViewId="0">
      <selection activeCell="I22" sqref="I22"/>
    </sheetView>
  </sheetViews>
  <sheetFormatPr defaultColWidth="8.85546875" defaultRowHeight="15" x14ac:dyDescent="0.25"/>
  <cols>
    <col min="1" max="1" width="9.85546875" hidden="1" customWidth="1"/>
    <col min="2" max="2" width="9.85546875" style="107" customWidth="1"/>
    <col min="3" max="3" width="9.7109375" style="108" customWidth="1"/>
    <col min="4" max="4" width="9" style="108" customWidth="1"/>
    <col min="5" max="5" width="9.7109375" style="111" hidden="1" customWidth="1"/>
    <col min="6" max="6" width="10.140625" style="112" customWidth="1"/>
    <col min="7" max="7" width="9.140625" style="112" customWidth="1"/>
    <col min="8" max="8" width="33.7109375" style="115" customWidth="1"/>
    <col min="9" max="10" width="28.140625" style="114" customWidth="1"/>
    <col min="11" max="11" width="19.28515625" customWidth="1"/>
    <col min="12" max="12" width="9" customWidth="1"/>
    <col min="13" max="13" width="8" customWidth="1"/>
    <col min="15" max="15" width="7.28515625" customWidth="1"/>
    <col min="16" max="16" width="10.85546875" customWidth="1"/>
    <col min="17" max="17" width="10.28515625" customWidth="1"/>
    <col min="18" max="18" width="9.7109375" style="15" customWidth="1"/>
    <col min="19" max="19" width="11.28515625" style="60" customWidth="1"/>
    <col min="20" max="20" width="11.140625" style="60" customWidth="1"/>
    <col min="22" max="22" width="26.28515625" customWidth="1"/>
    <col min="23" max="23" width="7.7109375" customWidth="1"/>
    <col min="24" max="26" width="8.85546875" customWidth="1"/>
    <col min="27" max="27" width="10.85546875" customWidth="1"/>
    <col min="28" max="28" width="10.28515625" customWidth="1"/>
    <col min="29" max="29" width="9.7109375" style="15" customWidth="1"/>
    <col min="30" max="30" width="11.28515625" style="60" customWidth="1"/>
    <col min="31" max="31" width="11.140625" style="60" customWidth="1"/>
  </cols>
  <sheetData>
    <row r="1" spans="1:31" s="5" customFormat="1" ht="33.75" customHeight="1" x14ac:dyDescent="0.25">
      <c r="D1" s="45" t="str">
        <f>AEAS_AssessmentTitle</f>
        <v>Replace with your subject and relevant key stage (e.g. French GCSE)</v>
      </c>
      <c r="E1" s="45"/>
      <c r="F1" s="45"/>
      <c r="G1" s="45"/>
      <c r="H1" s="45"/>
      <c r="I1" s="45"/>
      <c r="J1" s="45"/>
      <c r="K1" s="45"/>
      <c r="L1" s="45"/>
      <c r="M1" s="45"/>
      <c r="N1" s="45"/>
      <c r="O1" s="45"/>
      <c r="P1" s="45"/>
      <c r="Q1" s="45"/>
      <c r="R1" s="25"/>
      <c r="S1" s="59"/>
      <c r="T1" s="59"/>
      <c r="AA1" s="45"/>
      <c r="AB1" s="45"/>
      <c r="AC1" s="25"/>
      <c r="AD1" s="59"/>
      <c r="AE1" s="59"/>
    </row>
    <row r="2" spans="1:31" ht="6" customHeight="1" x14ac:dyDescent="0.25">
      <c r="B2"/>
      <c r="C2"/>
      <c r="D2"/>
      <c r="E2" s="4"/>
      <c r="F2"/>
      <c r="G2" s="26"/>
      <c r="H2" s="28"/>
      <c r="I2"/>
      <c r="J2"/>
    </row>
    <row r="3" spans="1:31" ht="23.25" x14ac:dyDescent="0.35">
      <c r="B3"/>
      <c r="C3"/>
      <c r="D3" s="11" t="s">
        <v>9</v>
      </c>
      <c r="E3" s="11"/>
      <c r="F3" s="132"/>
      <c r="G3" s="132"/>
      <c r="H3" s="132"/>
      <c r="I3" s="132"/>
      <c r="J3" s="132"/>
      <c r="K3" s="11" t="s">
        <v>10</v>
      </c>
    </row>
    <row r="4" spans="1:31" ht="25.5" customHeight="1" x14ac:dyDescent="0.3">
      <c r="B4"/>
      <c r="C4"/>
      <c r="D4" s="12" t="s">
        <v>5</v>
      </c>
      <c r="E4" s="11"/>
      <c r="F4" s="12" t="e">
        <f>VLOOKUP(PupilName,AEAS_Data,2,FALSE)</f>
        <v>#N/A</v>
      </c>
      <c r="G4" s="27"/>
      <c r="H4" s="27"/>
      <c r="I4" s="11"/>
      <c r="J4" s="11"/>
      <c r="K4" s="7" t="str">
        <f>_xlfn.CONCAT("Total mark (/",AEAS_TotalMarks,"):")</f>
        <v>Total mark (/59):</v>
      </c>
      <c r="L4" s="8" t="e">
        <f>VLOOKUP(PupilName,AEAS_Data,13, FALSE)</f>
        <v>#N/A</v>
      </c>
      <c r="M4" s="80" t="e">
        <f>_xlfn.CONCAT("(",ROUND(L4/(_xlfn.SINGLE(AEAS_TotalMarks))*100, 0),"%)")</f>
        <v>#N/A</v>
      </c>
      <c r="N4" s="9" t="s">
        <v>7</v>
      </c>
      <c r="O4" s="10" t="e">
        <f>VLOOKUP((L4/_xlfn.SINGLE(AEAS_TotalMarks)),AEAS_GradeBoundaries,2, TRUE)</f>
        <v>#N/A</v>
      </c>
    </row>
    <row r="5" spans="1:31" ht="21.75" customHeight="1" x14ac:dyDescent="0.25">
      <c r="B5"/>
      <c r="C5"/>
      <c r="D5"/>
      <c r="E5"/>
      <c r="F5"/>
      <c r="G5" s="28"/>
      <c r="H5" s="28"/>
      <c r="I5"/>
      <c r="J5"/>
    </row>
    <row r="6" spans="1:31" s="30" customFormat="1" ht="31.5" customHeight="1" x14ac:dyDescent="0.25">
      <c r="A6" s="32" t="s">
        <v>2</v>
      </c>
      <c r="B6" s="33" t="s">
        <v>35</v>
      </c>
      <c r="C6" s="33" t="s">
        <v>34</v>
      </c>
      <c r="D6" s="33" t="s">
        <v>36</v>
      </c>
      <c r="E6" s="33" t="s">
        <v>3</v>
      </c>
      <c r="F6" s="33" t="s">
        <v>8</v>
      </c>
      <c r="G6" s="34" t="s">
        <v>32</v>
      </c>
      <c r="H6" s="105" t="s">
        <v>105</v>
      </c>
      <c r="I6" s="106" t="str">
        <f>Setup!D10</f>
        <v>Enter desecription, e.g. "Specification area"</v>
      </c>
      <c r="J6" s="106" t="str">
        <f>Setup!E10</f>
        <v>Enter desecription, e.g. "Skill"</v>
      </c>
      <c r="R6" s="35"/>
      <c r="S6" s="61"/>
      <c r="T6" s="61"/>
      <c r="AC6" s="35"/>
      <c r="AD6" s="61"/>
      <c r="AE6" s="61"/>
    </row>
    <row r="7" spans="1:31" x14ac:dyDescent="0.25">
      <c r="E7" s="109"/>
      <c r="F7" s="110"/>
      <c r="G7" s="110"/>
      <c r="H7" s="113"/>
    </row>
    <row r="8" spans="1:31" x14ac:dyDescent="0.25">
      <c r="E8" s="109"/>
      <c r="F8" s="110"/>
      <c r="G8" s="110"/>
      <c r="H8" s="113"/>
    </row>
    <row r="9" spans="1:31" x14ac:dyDescent="0.25">
      <c r="E9" s="109"/>
      <c r="F9" s="110"/>
      <c r="G9" s="110"/>
      <c r="H9" s="113"/>
    </row>
    <row r="10" spans="1:31" x14ac:dyDescent="0.25">
      <c r="E10" s="109"/>
      <c r="F10" s="110"/>
      <c r="G10" s="110"/>
      <c r="H10" s="113"/>
    </row>
    <row r="11" spans="1:31" x14ac:dyDescent="0.25">
      <c r="E11" s="109"/>
      <c r="F11" s="110"/>
      <c r="G11" s="110"/>
      <c r="H11" s="113"/>
    </row>
    <row r="12" spans="1:31" x14ac:dyDescent="0.25">
      <c r="E12" s="109"/>
      <c r="F12" s="110"/>
      <c r="G12" s="110"/>
      <c r="H12" s="113"/>
    </row>
    <row r="13" spans="1:31" x14ac:dyDescent="0.25">
      <c r="E13" s="109"/>
      <c r="F13" s="110"/>
      <c r="G13" s="110"/>
      <c r="H13" s="113"/>
    </row>
    <row r="14" spans="1:31" x14ac:dyDescent="0.25">
      <c r="E14" s="109"/>
      <c r="F14" s="110"/>
      <c r="G14" s="110"/>
      <c r="H14" s="113"/>
    </row>
    <row r="15" spans="1:31" x14ac:dyDescent="0.25">
      <c r="E15" s="109"/>
      <c r="F15" s="110"/>
      <c r="G15" s="110"/>
      <c r="H15" s="113"/>
    </row>
    <row r="16" spans="1:31" x14ac:dyDescent="0.25">
      <c r="E16" s="109"/>
      <c r="F16" s="110"/>
      <c r="G16" s="110"/>
      <c r="H16" s="113"/>
    </row>
    <row r="17" spans="5:8" x14ac:dyDescent="0.25">
      <c r="E17" s="109"/>
      <c r="F17" s="110"/>
      <c r="G17" s="110"/>
      <c r="H17" s="113"/>
    </row>
    <row r="18" spans="5:8" x14ac:dyDescent="0.25">
      <c r="E18" s="109"/>
      <c r="F18" s="110"/>
      <c r="G18" s="110"/>
      <c r="H18" s="113"/>
    </row>
    <row r="19" spans="5:8" x14ac:dyDescent="0.25">
      <c r="E19" s="109"/>
      <c r="F19" s="110"/>
      <c r="G19" s="110"/>
      <c r="H19" s="113"/>
    </row>
    <row r="20" spans="5:8" x14ac:dyDescent="0.25">
      <c r="E20" s="109"/>
      <c r="F20" s="110"/>
      <c r="G20" s="110"/>
      <c r="H20" s="113"/>
    </row>
    <row r="21" spans="5:8" x14ac:dyDescent="0.25">
      <c r="E21" s="109"/>
      <c r="F21" s="110"/>
      <c r="G21" s="110"/>
      <c r="H21" s="113"/>
    </row>
    <row r="22" spans="5:8" x14ac:dyDescent="0.25">
      <c r="E22" s="109"/>
      <c r="F22" s="110"/>
      <c r="G22" s="110"/>
      <c r="H22" s="113"/>
    </row>
    <row r="23" spans="5:8" x14ac:dyDescent="0.25">
      <c r="E23" s="109"/>
      <c r="F23" s="110"/>
      <c r="G23" s="110"/>
      <c r="H23" s="113"/>
    </row>
    <row r="24" spans="5:8" x14ac:dyDescent="0.25">
      <c r="E24" s="109"/>
      <c r="F24" s="110"/>
      <c r="G24" s="110"/>
      <c r="H24" s="113"/>
    </row>
    <row r="25" spans="5:8" x14ac:dyDescent="0.25">
      <c r="E25" s="109"/>
      <c r="F25" s="110"/>
      <c r="G25" s="110"/>
      <c r="H25" s="113"/>
    </row>
    <row r="26" spans="5:8" x14ac:dyDescent="0.25">
      <c r="E26" s="109"/>
      <c r="F26" s="110"/>
      <c r="G26" s="110"/>
      <c r="H26" s="113"/>
    </row>
    <row r="27" spans="5:8" x14ac:dyDescent="0.25">
      <c r="E27" s="109"/>
      <c r="F27" s="110"/>
      <c r="G27" s="110"/>
      <c r="H27" s="113"/>
    </row>
    <row r="28" spans="5:8" x14ac:dyDescent="0.25">
      <c r="E28" s="109"/>
      <c r="F28" s="110"/>
      <c r="G28" s="110"/>
      <c r="H28" s="113"/>
    </row>
    <row r="29" spans="5:8" x14ac:dyDescent="0.25">
      <c r="E29" s="109"/>
      <c r="F29" s="110"/>
      <c r="G29" s="110"/>
      <c r="H29" s="113"/>
    </row>
    <row r="30" spans="5:8" x14ac:dyDescent="0.25">
      <c r="E30" s="109"/>
      <c r="F30" s="110"/>
      <c r="G30" s="110"/>
      <c r="H30" s="113"/>
    </row>
    <row r="31" spans="5:8" x14ac:dyDescent="0.25">
      <c r="E31" s="109"/>
      <c r="F31" s="110"/>
      <c r="G31" s="110"/>
      <c r="H31" s="113"/>
    </row>
    <row r="32" spans="5:8" x14ac:dyDescent="0.25">
      <c r="E32" s="109"/>
      <c r="F32" s="110"/>
      <c r="G32" s="110"/>
      <c r="H32" s="113"/>
    </row>
    <row r="33" spans="5:31" x14ac:dyDescent="0.25">
      <c r="E33" s="109"/>
      <c r="F33" s="110"/>
      <c r="G33" s="110"/>
      <c r="H33" s="113"/>
    </row>
    <row r="38" spans="5:31" ht="18.75" x14ac:dyDescent="0.3">
      <c r="K38" s="13" t="str">
        <f>CONCATENATE("Assessment perspective summary: ", I6)</f>
        <v>Assessment perspective summary: Enter desecription, e.g. "Specification area"</v>
      </c>
      <c r="V38" s="13" t="str">
        <f>CONCATENATE("Assessment perspective summary: ", J6)</f>
        <v>Assessment perspective summary: Enter desecription, e.g. "Skill"</v>
      </c>
    </row>
    <row r="39" spans="5:31" ht="30" x14ac:dyDescent="0.25">
      <c r="K39" s="131" t="s">
        <v>99</v>
      </c>
      <c r="L39" s="131"/>
      <c r="M39" s="131"/>
      <c r="N39" s="131"/>
      <c r="O39" s="31"/>
      <c r="P39" s="81" t="s">
        <v>14</v>
      </c>
      <c r="Q39" s="81" t="s">
        <v>15</v>
      </c>
      <c r="R39" s="82" t="s">
        <v>4</v>
      </c>
      <c r="S39" s="83" t="s">
        <v>66</v>
      </c>
      <c r="T39" s="83" t="s">
        <v>67</v>
      </c>
      <c r="V39" s="131" t="s">
        <v>99</v>
      </c>
      <c r="W39" s="131"/>
      <c r="X39" s="131"/>
      <c r="Y39" s="131"/>
      <c r="Z39" s="31"/>
      <c r="AA39" s="81" t="s">
        <v>14</v>
      </c>
      <c r="AB39" s="81" t="s">
        <v>15</v>
      </c>
      <c r="AC39" s="82" t="s">
        <v>4</v>
      </c>
      <c r="AD39" s="83" t="s">
        <v>66</v>
      </c>
      <c r="AE39" s="83" t="s">
        <v>67</v>
      </c>
    </row>
  </sheetData>
  <mergeCells count="3">
    <mergeCell ref="K39:N39"/>
    <mergeCell ref="F3:J3"/>
    <mergeCell ref="V39:Y39"/>
  </mergeCells>
  <conditionalFormatting sqref="D7:D1048576">
    <cfRule type="containsBlanks" priority="12" stopIfTrue="1">
      <formula>LEN(TRIM(D7))=0</formula>
    </cfRule>
  </conditionalFormatting>
  <conditionalFormatting sqref="R40:R1048576 R1:R40">
    <cfRule type="containsBlanks" priority="7" stopIfTrue="1">
      <formula>LEN(TRIM(R1))=0</formula>
    </cfRule>
  </conditionalFormatting>
  <conditionalFormatting sqref="R39">
    <cfRule type="containsText" priority="45" stopIfTrue="1" operator="containsText" text="% achieved">
      <formula>NOT(ISERROR(SEARCH("% achieved",R39)))</formula>
    </cfRule>
  </conditionalFormatting>
  <conditionalFormatting sqref="AC1:AC39 AC49:AC1048576">
    <cfRule type="containsBlanks" priority="19" stopIfTrue="1">
      <formula>LEN(TRIM(AC1))=0</formula>
    </cfRule>
  </conditionalFormatting>
  <conditionalFormatting sqref="AC39">
    <cfRule type="containsText" priority="18" stopIfTrue="1" operator="containsText" text="% achieved">
      <formula>NOT(ISERROR(SEARCH("% achieved",AC39)))</formula>
    </cfRule>
  </conditionalFormatting>
  <conditionalFormatting sqref="AC40:AC1048576">
    <cfRule type="containsBlanks" priority="1" stopIfTrue="1">
      <formula>LEN(TRIM(AC40))=0</formula>
    </cfRule>
  </conditionalFormatting>
  <dataValidations disablePrompts="1" count="1">
    <dataValidation type="list" allowBlank="1" showInputMessage="1" showErrorMessage="1" sqref="F3" xr:uid="{5426A1A6-38AA-4353-89E8-B0E766B2DDB0}">
      <formula1>#REF!</formula1>
    </dataValidation>
  </dataValidations>
  <pageMargins left="0.7" right="0.7" top="0.75" bottom="0.75" header="0.3" footer="0.3"/>
  <pageSetup paperSize="9" scale="5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ExportPupilSummaryPDF">
                <anchor moveWithCells="1" sizeWithCells="1">
                  <from>
                    <xdr:col>17</xdr:col>
                    <xdr:colOff>228600</xdr:colOff>
                    <xdr:row>0</xdr:row>
                    <xdr:rowOff>371475</xdr:rowOff>
                  </from>
                  <to>
                    <xdr:col>19</xdr:col>
                    <xdr:colOff>790575</xdr:colOff>
                    <xdr:row>4</xdr:row>
                    <xdr:rowOff>28575</xdr:rowOff>
                  </to>
                </anchor>
              </controlPr>
            </control>
          </mc:Choice>
        </mc:AlternateContent>
        <mc:AlternateContent xmlns:mc="http://schemas.openxmlformats.org/markup-compatibility/2006">
          <mc:Choice Requires="x14">
            <control shapeId="6148" r:id="rId5" name="Check Box 4">
              <controlPr defaultSize="0" print="0" autoFill="0" autoLine="0" autoPict="0" macro="[0]!PIS_Chart1_CheckBox_Responder">
                <anchor moveWithCells="1">
                  <from>
                    <xdr:col>10</xdr:col>
                    <xdr:colOff>66675</xdr:colOff>
                    <xdr:row>34</xdr:row>
                    <xdr:rowOff>152400</xdr:rowOff>
                  </from>
                  <to>
                    <xdr:col>12</xdr:col>
                    <xdr:colOff>38100</xdr:colOff>
                    <xdr:row>36</xdr:row>
                    <xdr:rowOff>38100</xdr:rowOff>
                  </to>
                </anchor>
              </controlPr>
            </control>
          </mc:Choice>
        </mc:AlternateContent>
        <mc:AlternateContent xmlns:mc="http://schemas.openxmlformats.org/markup-compatibility/2006">
          <mc:Choice Requires="x14">
            <control shapeId="6157" r:id="rId6" name="Check Box 13">
              <controlPr defaultSize="0" print="0" autoFill="0" autoLine="0" autoPict="0" macro="[0]!PIS_Chart2_CheckBox_Responder">
                <anchor moveWithCells="1">
                  <from>
                    <xdr:col>21</xdr:col>
                    <xdr:colOff>66675</xdr:colOff>
                    <xdr:row>34</xdr:row>
                    <xdr:rowOff>152400</xdr:rowOff>
                  </from>
                  <to>
                    <xdr:col>22</xdr:col>
                    <xdr:colOff>219075</xdr:colOff>
                    <xdr:row>36</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 stopIfTrue="1" id="{645F97C2-ED18-2749-AB6A-7FE91285E73D}">
            <xm:f>$E7&gt;=Setup!$J$16</xm:f>
            <x14:dxf>
              <font>
                <color theme="0"/>
              </font>
              <fill>
                <patternFill>
                  <bgColor theme="9"/>
                </patternFill>
              </fill>
            </x14:dxf>
          </x14:cfRule>
          <x14:cfRule type="expression" priority="14" stopIfTrue="1" id="{836073F2-57D1-6744-BF7A-B9302EE9194D}">
            <xm:f>$E7&gt;=Setup!$J$17</xm:f>
            <x14:dxf>
              <fill>
                <patternFill>
                  <bgColor theme="9" tint="0.59996337778862885"/>
                </patternFill>
              </fill>
            </x14:dxf>
          </x14:cfRule>
          <x14:cfRule type="expression" priority="15" stopIfTrue="1" id="{F754AD3C-E15B-5E42-8797-F2CF1BD23801}">
            <xm:f>$E7&gt;=Setup!$J$18</xm:f>
            <x14:dxf>
              <fill>
                <patternFill>
                  <bgColor theme="7" tint="0.39994506668294322"/>
                </patternFill>
              </fill>
            </x14:dxf>
          </x14:cfRule>
          <x14:cfRule type="expression" priority="16" stopIfTrue="1" id="{CFF91B78-7DC6-BB45-8AFF-4E46DB1275B5}">
            <xm:f>$E7&gt;=Setup!$J$19</xm:f>
            <x14:dxf>
              <font>
                <color theme="0"/>
              </font>
              <fill>
                <patternFill>
                  <bgColor rgb="FFFF4C05"/>
                </patternFill>
              </fill>
            </x14:dxf>
          </x14:cfRule>
          <x14:cfRule type="expression" priority="17" stopIfTrue="1" id="{359C3E91-E188-A44E-AAF0-3892E4379ECC}">
            <xm:f>$E7&lt;Setup!$J$19</xm:f>
            <x14:dxf>
              <font>
                <color theme="0"/>
              </font>
              <fill>
                <patternFill>
                  <bgColor rgb="FFC00000"/>
                </patternFill>
              </fill>
            </x14:dxf>
          </x14:cfRule>
          <xm:sqref>D7:D1048576</xm:sqref>
        </x14:conditionalFormatting>
        <x14:conditionalFormatting xmlns:xm="http://schemas.microsoft.com/office/excel/2006/main">
          <x14:cfRule type="cellIs" priority="8" stopIfTrue="1" operator="greaterThanOrEqual" id="{EDF0E844-1160-4F41-BF5E-F23EE6DF5C3A}">
            <xm:f>Setup!$J16</xm:f>
            <x14:dxf>
              <font>
                <color theme="0"/>
              </font>
              <fill>
                <patternFill>
                  <bgColor theme="9" tint="-0.24994659260841701"/>
                </patternFill>
              </fill>
            </x14:dxf>
          </x14:cfRule>
          <x14:cfRule type="cellIs" priority="9" stopIfTrue="1" operator="greaterThanOrEqual" id="{CB0622F9-3423-1147-9850-5F364F09A9DD}">
            <xm:f>Setup!$J17</xm:f>
            <x14:dxf>
              <fill>
                <patternFill>
                  <bgColor theme="9" tint="0.59996337778862885"/>
                </patternFill>
              </fill>
            </x14:dxf>
          </x14:cfRule>
          <x14:cfRule type="cellIs" priority="10" stopIfTrue="1" operator="greaterThanOrEqual" id="{A53376C3-4DEA-8746-B48A-5B127BDF2BB8}">
            <xm:f>Setup!$J18</xm:f>
            <x14:dxf>
              <fill>
                <patternFill>
                  <bgColor theme="7" tint="0.39994506668294322"/>
                </patternFill>
              </fill>
            </x14:dxf>
          </x14:cfRule>
          <x14:cfRule type="cellIs" priority="11" stopIfTrue="1" operator="greaterThanOrEqual" id="{39570237-C6C5-734C-A564-FF7479E0DACB}">
            <xm:f>Setup!$J19</xm:f>
            <x14:dxf>
              <font>
                <color theme="0"/>
              </font>
              <fill>
                <patternFill>
                  <bgColor rgb="FFF94C07"/>
                </patternFill>
              </fill>
            </x14:dxf>
          </x14:cfRule>
          <x14:cfRule type="cellIs" priority="46" stopIfTrue="1" operator="lessThan" id="{BD026C62-4A3A-C845-B4FB-D57814ADE414}">
            <xm:f>Setup!$J19</xm:f>
            <x14:dxf>
              <font>
                <color theme="0"/>
              </font>
              <fill>
                <patternFill>
                  <bgColor rgb="FFC00000"/>
                </patternFill>
              </fill>
            </x14:dxf>
          </x14:cfRule>
          <xm:sqref>R40:R1048576</xm:sqref>
        </x14:conditionalFormatting>
        <x14:conditionalFormatting xmlns:xm="http://schemas.microsoft.com/office/excel/2006/main">
          <x14:cfRule type="cellIs" priority="2" stopIfTrue="1" operator="greaterThanOrEqual" id="{C821B870-8968-934E-870A-DE00AB306F19}">
            <xm:f>Setup!$J$16</xm:f>
            <x14:dxf>
              <font>
                <color theme="0"/>
              </font>
              <fill>
                <patternFill>
                  <bgColor theme="9" tint="-0.24994659260841701"/>
                </patternFill>
              </fill>
            </x14:dxf>
          </x14:cfRule>
          <x14:cfRule type="cellIs" priority="3" stopIfTrue="1" operator="greaterThanOrEqual" id="{6EF26D8E-634A-FA47-9A00-E17648B0F952}">
            <xm:f>Setup!$J$17</xm:f>
            <x14:dxf>
              <fill>
                <patternFill>
                  <bgColor theme="9" tint="0.59996337778862885"/>
                </patternFill>
              </fill>
            </x14:dxf>
          </x14:cfRule>
          <x14:cfRule type="cellIs" priority="4" stopIfTrue="1" operator="greaterThanOrEqual" id="{30DD4B53-FD50-9A4F-894C-B6E23110A417}">
            <xm:f>Setup!$J$18</xm:f>
            <x14:dxf>
              <fill>
                <patternFill>
                  <bgColor theme="7" tint="0.39994506668294322"/>
                </patternFill>
              </fill>
            </x14:dxf>
          </x14:cfRule>
          <x14:cfRule type="cellIs" priority="5" stopIfTrue="1" operator="greaterThanOrEqual" id="{D38786EF-AC6C-414C-8AEF-87C9A8379EC0}">
            <xm:f>Setup!$J$19</xm:f>
            <x14:dxf>
              <font>
                <color theme="0"/>
              </font>
              <fill>
                <patternFill>
                  <bgColor rgb="FFF94C07"/>
                </patternFill>
              </fill>
            </x14:dxf>
          </x14:cfRule>
          <x14:cfRule type="cellIs" priority="6" stopIfTrue="1" operator="lessThan" id="{176AD03E-1C06-364E-AA05-85E88DEED535}">
            <xm:f>Setup!$J$19</xm:f>
            <x14:dxf>
              <font>
                <color theme="0"/>
              </font>
              <fill>
                <patternFill>
                  <bgColor rgb="FFC00000"/>
                </patternFill>
              </fill>
            </x14:dxf>
          </x14:cfRule>
          <xm:sqref>AC40:AC1048576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ateDueForReview xmlns="2730ede9-796d-4fd8-80e0-e1da90c3cc85" xsi:nil="true"/>
    <Policy_x0020_Owner xmlns="2730ede9-796d-4fd8-80e0-e1da90c3cc85">
      <UserInfo>
        <DisplayName/>
        <AccountId xsi:nil="true"/>
        <AccountType/>
      </UserInfo>
    </Policy_x0020_Owner>
    <NewFormat xmlns="2730ede9-796d-4fd8-80e0-e1da90c3cc85">false</NewFormat>
    <_Flow_SignoffStatus xmlns="2730ede9-796d-4fd8-80e0-e1da90c3cc85" xsi:nil="true"/>
    <lcf76f155ced4ddcb4097134ff3c332f xmlns="2730ede9-796d-4fd8-80e0-e1da90c3cc85">
      <Terms xmlns="http://schemas.microsoft.com/office/infopath/2007/PartnerControls"/>
    </lcf76f155ced4ddcb4097134ff3c332f>
    <Committee xmlns="2730ede9-796d-4fd8-80e0-e1da90c3cc85" xsi:nil="true"/>
    <TaxCatchAll xmlns="ae43b738-0c24-4517-bdda-ca9f4498d12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3556364708EF645B576095D49CD5AC5" ma:contentTypeVersion="25" ma:contentTypeDescription="Create a new document." ma:contentTypeScope="" ma:versionID="82ab3819260a294d43d44e10b8fa49f9">
  <xsd:schema xmlns:xsd="http://www.w3.org/2001/XMLSchema" xmlns:xs="http://www.w3.org/2001/XMLSchema" xmlns:p="http://schemas.microsoft.com/office/2006/metadata/properties" xmlns:ns2="2730ede9-796d-4fd8-80e0-e1da90c3cc85" xmlns:ns3="ae43b738-0c24-4517-bdda-ca9f4498d120" targetNamespace="http://schemas.microsoft.com/office/2006/metadata/properties" ma:root="true" ma:fieldsID="a59c2aff0c189c92183553b20184fe08" ns2:_="" ns3:_="">
    <xsd:import namespace="2730ede9-796d-4fd8-80e0-e1da90c3cc85"/>
    <xsd:import namespace="ae43b738-0c24-4517-bdda-ca9f4498d120"/>
    <xsd:element name="properties">
      <xsd:complexType>
        <xsd:sequence>
          <xsd:element name="documentManagement">
            <xsd:complexType>
              <xsd:all>
                <xsd:element ref="ns2:DateDueForReview" minOccurs="0"/>
                <xsd:element ref="ns2:Policy_x0020_Owner" minOccurs="0"/>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Location" minOccurs="0"/>
                <xsd:element ref="ns3:SharedWithUsers" minOccurs="0"/>
                <xsd:element ref="ns3:SharedWithDetails" minOccurs="0"/>
                <xsd:element ref="ns2:MediaLengthInSeconds" minOccurs="0"/>
                <xsd:element ref="ns2:NewFormat" minOccurs="0"/>
                <xsd:element ref="ns2:_Flow_SignoffStatus" minOccurs="0"/>
                <xsd:element ref="ns2:Committee"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730ede9-796d-4fd8-80e0-e1da90c3cc85" elementFormDefault="qualified">
    <xsd:import namespace="http://schemas.microsoft.com/office/2006/documentManagement/types"/>
    <xsd:import namespace="http://schemas.microsoft.com/office/infopath/2007/PartnerControls"/>
    <xsd:element name="DateDueForReview" ma:index="8" nillable="true" ma:displayName="Date Due For Review" ma:format="DateOnly" ma:internalName="DateDueForReview">
      <xsd:simpleType>
        <xsd:restriction base="dms:DateTime"/>
      </xsd:simpleType>
    </xsd:element>
    <xsd:element name="Policy_x0020_Owner" ma:index="9" nillable="true" ma:displayName="Policy Owner" ma:description="This is the person responsible for maintaining and reviewing the policy" ma:format="Dropdown" ma:list="UserInfo" ma:SearchPeopleOnly="false" ma:SharePointGroup="0" ma:internalName="Policy_x0020_Owner"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2" nillable="true" ma:displayName="Length (seconds)" ma:internalName="MediaLengthInSeconds" ma:readOnly="true">
      <xsd:simpleType>
        <xsd:restriction base="dms:Unknown"/>
      </xsd:simpleType>
    </xsd:element>
    <xsd:element name="NewFormat" ma:index="23" nillable="true" ma:displayName="New Format" ma:default="0" ma:description="JH has reformatted Policy" ma:format="Dropdown" ma:internalName="NewFormat">
      <xsd:simpleType>
        <xsd:restriction base="dms:Boolean"/>
      </xsd:simpleType>
    </xsd:element>
    <xsd:element name="_Flow_SignoffStatus" ma:index="24" nillable="true" ma:displayName="Sign-off status" ma:internalName="Sign_x002d_off_x0020_status">
      <xsd:simpleType>
        <xsd:restriction base="dms:Text"/>
      </xsd:simpleType>
    </xsd:element>
    <xsd:element name="Committee" ma:index="25" nillable="true" ma:displayName="Committee" ma:description="Governors Committee responsible" ma:format="Dropdown" ma:internalName="Committee">
      <xsd:complexType>
        <xsd:complexContent>
          <xsd:extension base="dms:MultiChoice">
            <xsd:sequence>
              <xsd:element name="Value" maxOccurs="unbounded" minOccurs="0" nillable="true">
                <xsd:simpleType>
                  <xsd:restriction base="dms:Choice">
                    <xsd:enumeration value="The Finance Committee"/>
                    <xsd:enumeration value="The Curriculum &amp; Standards Committee"/>
                    <xsd:enumeration value="The External Relations &amp; Pastoral Care Committee"/>
                    <xsd:enumeration value="The Property and Projects Committee"/>
                    <xsd:enumeration value="The Staff Pay and Performance Committee"/>
                    <xsd:enumeration value="The Admissions Committee"/>
                  </xsd:restriction>
                </xsd:simpleType>
              </xsd:element>
            </xsd:sequence>
          </xsd:extension>
        </xsd:complexContent>
      </xsd:complexType>
    </xsd:element>
    <xsd:element name="lcf76f155ced4ddcb4097134ff3c332f" ma:index="27" nillable="true" ma:taxonomy="true" ma:internalName="lcf76f155ced4ddcb4097134ff3c332f" ma:taxonomyFieldName="MediaServiceImageTags" ma:displayName="Image Tags" ma:readOnly="false" ma:fieldId="{5cf76f15-5ced-4ddc-b409-7134ff3c332f}" ma:taxonomyMulti="true" ma:sspId="fb55f285-342d-469f-ba5f-1833ba7cef98" ma:termSetId="09814cd3-568e-fe90-9814-8d621ff8fb84" ma:anchorId="fba54fb3-c3e1-fe81-a776-ca4b69148c4d" ma:open="true" ma:isKeyword="false">
      <xsd:complexType>
        <xsd:sequence>
          <xsd:element ref="pc:Terms" minOccurs="0" maxOccurs="1"/>
        </xsd:sequence>
      </xsd:complex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ObjectDetectorVersions" ma:index="30"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e43b738-0c24-4517-bdda-ca9f4498d120" elementFormDefault="qualified">
    <xsd:import namespace="http://schemas.microsoft.com/office/2006/documentManagement/types"/>
    <xsd:import namespace="http://schemas.microsoft.com/office/infopath/2007/PartnerControls"/>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element name="TaxCatchAll" ma:index="28" nillable="true" ma:displayName="Taxonomy Catch All Column" ma:hidden="true" ma:list="{1b3fd56b-c8fd-47a1-b0df-b49b729b3ceb}" ma:internalName="TaxCatchAll" ma:showField="CatchAllData" ma:web="ae43b738-0c24-4517-bdda-ca9f4498d12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AA2D041-DC3B-493A-9724-20EEFA7A61AE}">
  <ds:schemaRefs>
    <ds:schemaRef ds:uri="http://schemas.microsoft.com/sharepoint/v3/contenttype/forms"/>
  </ds:schemaRefs>
</ds:datastoreItem>
</file>

<file path=customXml/itemProps2.xml><?xml version="1.0" encoding="utf-8"?>
<ds:datastoreItem xmlns:ds="http://schemas.openxmlformats.org/officeDocument/2006/customXml" ds:itemID="{EADFDCDC-0FDF-42D8-A5EC-FF15F3080488}">
  <ds:schemaRefs>
    <ds:schemaRef ds:uri="http://www.w3.org/XML/1998/namespace"/>
    <ds:schemaRef ds:uri="http://purl.org/dc/elements/1.1/"/>
    <ds:schemaRef ds:uri="db5933cb-1942-4f3c-a937-596b46c9b63f"/>
    <ds:schemaRef ds:uri="http://schemas.microsoft.com/office/2006/metadata/properties"/>
    <ds:schemaRef ds:uri="http://schemas.openxmlformats.org/package/2006/metadata/core-properties"/>
    <ds:schemaRef ds:uri="http://purl.org/dc/dcmitype/"/>
    <ds:schemaRef ds:uri="http://schemas.microsoft.com/office/2006/documentManagement/types"/>
    <ds:schemaRef ds:uri="http://schemas.microsoft.com/office/infopath/2007/PartnerControls"/>
    <ds:schemaRef ds:uri="e553ed70-8a72-4eb2-b657-e0eb32545ce8"/>
    <ds:schemaRef ds:uri="http://purl.org/dc/terms/"/>
    <ds:schemaRef ds:uri="2730ede9-796d-4fd8-80e0-e1da90c3cc85"/>
    <ds:schemaRef ds:uri="ae43b738-0c24-4517-bdda-ca9f4498d120"/>
  </ds:schemaRefs>
</ds:datastoreItem>
</file>

<file path=customXml/itemProps3.xml><?xml version="1.0" encoding="utf-8"?>
<ds:datastoreItem xmlns:ds="http://schemas.openxmlformats.org/officeDocument/2006/customXml" ds:itemID="{1734E6DD-7A09-4FF2-A5FB-108A0FF887F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730ede9-796d-4fd8-80e0-e1da90c3cc85"/>
    <ds:schemaRef ds:uri="ae43b738-0c24-4517-bdda-ca9f4498d12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TODO</vt:lpstr>
      <vt:lpstr>Home</vt:lpstr>
      <vt:lpstr>Setup</vt:lpstr>
      <vt:lpstr>Pupil Data Summary TEMPLATE</vt:lpstr>
      <vt:lpstr>AEAS Info</vt:lpstr>
      <vt:lpstr>CIS Data TEMPLATE</vt:lpstr>
      <vt:lpstr>Cohort Insight TEMPLATE</vt:lpstr>
      <vt:lpstr>Data Entry Sheet TEMPLATE</vt:lpstr>
      <vt:lpstr>Pupil Insight TEMPLATE</vt:lpstr>
      <vt:lpstr>AEAS_Assessment_Perspective_1_Title</vt:lpstr>
      <vt:lpstr>AEAS_Assessment_Perspective_2_Title</vt:lpstr>
      <vt:lpstr>AEAS_AssessmentTitle</vt:lpstr>
      <vt:lpstr>AEAS_ColourBoundaries</vt:lpstr>
      <vt:lpstr>AEAS_GradeBoundaries</vt:lpstr>
      <vt:lpstr>AEAS_QuestionMaxMarks</vt:lpstr>
      <vt:lpstr>'Pupil Insight TEMPLATE'!PupilName</vt:lpstr>
      <vt:lpstr>vChart1ShowPctMarks</vt:lpstr>
      <vt:lpstr>vChart2ShowPctMarks</vt:lpstr>
      <vt:lpstr>vCIS_CG_AP1ChartByGroupShowDiffFromAll</vt:lpstr>
      <vt:lpstr>vCIS_CG_AP1ChartByPerspectiveShowDiffFromAll</vt:lpstr>
      <vt:lpstr>vCIS_CG_AP2ChartByGroupShowDiffFromAll</vt:lpstr>
      <vt:lpstr>vCIS_CG_AP2ChartByPerspectiveShowDiffFromAll</vt:lpstr>
      <vt:lpstr>vCIS_ClassGroupAveragesChartShowDifferences</vt:lpstr>
      <vt:lpstr>vCIS_VG_AP1ChartByGroupShowDiffFromAll</vt:lpstr>
      <vt:lpstr>vCIS_VG_AP1ChartByPerspectiveShowDiffFromAll</vt:lpstr>
      <vt:lpstr>vCIS_VG_AP2ChartByGroupShowDiffFromAll</vt:lpstr>
      <vt:lpstr>vCIS_VG_AP2ChartByPerspectiveShowDiffFromAll</vt:lpstr>
      <vt:lpstr>vHideAssessmentPerspective2Data</vt:lpstr>
      <vt:lpstr>vIncludeCohortDataInCharts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Dimmick</dc:creator>
  <cp:lastModifiedBy>Adam Dimmick</cp:lastModifiedBy>
  <cp:lastPrinted>2022-01-04T21:45:53Z</cp:lastPrinted>
  <dcterms:created xsi:type="dcterms:W3CDTF">2020-10-12T08:44:12Z</dcterms:created>
  <dcterms:modified xsi:type="dcterms:W3CDTF">2024-06-12T07:15:03Z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0x01010093556364708EF645B576095D49CD5AC5</vt:lpwstr>
  </property>
  <property fmtid="{D5CDD505-2E9C-101B-9397-08002B2CF9AE}" pid="3" name="MediaServiceImageTags">
    <vt:lpwstr/>
  </property>
</Properties>
</file>